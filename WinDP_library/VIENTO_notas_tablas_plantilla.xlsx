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ctus\Documents\Git\data-processing-notebooks\ocean_data_analysis\"/>
    </mc:Choice>
  </mc:AlternateContent>
  <xr:revisionPtr revIDLastSave="0" documentId="13_ncr:1_{9110F973-9F66-408F-B886-C52CF63D8426}" xr6:coauthVersionLast="47" xr6:coauthVersionMax="47" xr10:uidLastSave="{00000000-0000-0000-0000-000000000000}"/>
  <bookViews>
    <workbookView xWindow="3120" yWindow="3120" windowWidth="21600" windowHeight="11295" firstSheet="3" activeTab="3" xr2:uid="{00000000-000D-0000-FFFF-FFFF00000000}"/>
  </bookViews>
  <sheets>
    <sheet name="NOTAS" sheetId="1" r:id="rId1"/>
    <sheet name="TABLAS_INCIDENCIA" sheetId="2" r:id="rId2"/>
    <sheet name="RESUMEN_6H" sheetId="3" r:id="rId3"/>
    <sheet name="ANÁLISIS_MENSUAL" sheetId="4" r:id="rId4"/>
    <sheet name="TABLAS_INCIDENCIA_MENSUAL" sheetId="5" r:id="rId5"/>
    <sheet name="VALIDACIÓN_ERA5" sheetId="6" r:id="rId6"/>
    <sheet name="EVENTOS-EXTREMOS-INST" sheetId="7" r:id="rId7"/>
    <sheet name="PERIODO_RETORNO_INST" sheetId="8" r:id="rId8"/>
    <sheet name="Hoja1" sheetId="9" r:id="rId9"/>
    <sheet name="PERIODO_RETORNO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4" l="1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C8" i="9"/>
  <c r="D8" i="9"/>
  <c r="E8" i="9"/>
  <c r="F8" i="9"/>
  <c r="G8" i="9"/>
  <c r="B8" i="9"/>
  <c r="C7" i="9"/>
  <c r="D7" i="9"/>
  <c r="E7" i="9"/>
  <c r="F7" i="9"/>
  <c r="G7" i="9"/>
  <c r="B7" i="9"/>
  <c r="C4" i="9"/>
  <c r="D4" i="9"/>
  <c r="E4" i="9"/>
  <c r="F4" i="9"/>
  <c r="G4" i="9"/>
  <c r="C5" i="9"/>
  <c r="D5" i="9"/>
  <c r="E5" i="9"/>
  <c r="F5" i="9"/>
  <c r="G5" i="9"/>
  <c r="C6" i="9"/>
  <c r="D6" i="9"/>
  <c r="E6" i="9"/>
  <c r="F6" i="9"/>
  <c r="G6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B11" i="9"/>
  <c r="B10" i="9"/>
  <c r="B9" i="9"/>
  <c r="B6" i="9"/>
  <c r="B5" i="9"/>
  <c r="B4" i="9"/>
  <c r="C12" i="4"/>
  <c r="M4" i="2"/>
  <c r="M6" i="2"/>
  <c r="I30" i="4"/>
  <c r="H30" i="4"/>
  <c r="G30" i="4"/>
  <c r="F30" i="4"/>
  <c r="E30" i="4"/>
  <c r="D30" i="4"/>
  <c r="B30" i="4"/>
  <c r="I29" i="4"/>
  <c r="H29" i="4"/>
  <c r="G29" i="4"/>
  <c r="F29" i="4"/>
  <c r="E29" i="4"/>
  <c r="D29" i="4"/>
  <c r="C30" i="4"/>
  <c r="B29" i="4"/>
  <c r="I28" i="4"/>
  <c r="H28" i="4"/>
  <c r="G28" i="4"/>
  <c r="F28" i="4"/>
  <c r="E28" i="4"/>
  <c r="D28" i="4"/>
  <c r="C29" i="4"/>
  <c r="B28" i="4"/>
  <c r="I27" i="4"/>
  <c r="H27" i="4"/>
  <c r="G27" i="4"/>
  <c r="F27" i="4"/>
  <c r="E27" i="4"/>
  <c r="D27" i="4"/>
  <c r="C28" i="4"/>
  <c r="B27" i="4"/>
  <c r="I26" i="4"/>
  <c r="H26" i="4"/>
  <c r="G26" i="4"/>
  <c r="F26" i="4"/>
  <c r="E26" i="4"/>
  <c r="D26" i="4"/>
  <c r="C27" i="4"/>
  <c r="B26" i="4"/>
  <c r="I25" i="4"/>
  <c r="H25" i="4"/>
  <c r="G25" i="4"/>
  <c r="F25" i="4"/>
  <c r="E25" i="4"/>
  <c r="D25" i="4"/>
  <c r="C26" i="4"/>
  <c r="B25" i="4"/>
  <c r="I24" i="4"/>
  <c r="H24" i="4"/>
  <c r="G24" i="4"/>
  <c r="F24" i="4"/>
  <c r="E24" i="4"/>
  <c r="D24" i="4"/>
  <c r="C25" i="4"/>
  <c r="B24" i="4"/>
  <c r="I23" i="4"/>
  <c r="H23" i="4"/>
  <c r="G23" i="4"/>
  <c r="F23" i="4"/>
  <c r="E23" i="4"/>
  <c r="D23" i="4"/>
  <c r="C24" i="4"/>
  <c r="B23" i="4"/>
  <c r="I22" i="4"/>
  <c r="H22" i="4"/>
  <c r="G22" i="4"/>
  <c r="F22" i="4"/>
  <c r="E22" i="4"/>
  <c r="D22" i="4"/>
  <c r="C23" i="4"/>
  <c r="B22" i="4"/>
  <c r="I21" i="4"/>
  <c r="H21" i="4"/>
  <c r="G21" i="4"/>
  <c r="F21" i="4"/>
  <c r="E21" i="4"/>
  <c r="D21" i="4"/>
  <c r="C22" i="4"/>
  <c r="B21" i="4"/>
  <c r="I20" i="4"/>
  <c r="H20" i="4"/>
  <c r="G20" i="4"/>
  <c r="F20" i="4"/>
  <c r="E20" i="4"/>
  <c r="D20" i="4"/>
  <c r="C21" i="4"/>
  <c r="B20" i="4"/>
  <c r="I19" i="4"/>
  <c r="H19" i="4"/>
  <c r="G19" i="4"/>
  <c r="F19" i="4"/>
  <c r="E19" i="4"/>
  <c r="D19" i="4"/>
  <c r="C20" i="4"/>
  <c r="B19" i="4"/>
  <c r="I18" i="4"/>
  <c r="H18" i="4"/>
  <c r="G18" i="4"/>
  <c r="F18" i="4"/>
  <c r="E18" i="4"/>
  <c r="D18" i="4"/>
  <c r="C19" i="4"/>
  <c r="B18" i="4"/>
  <c r="I17" i="4"/>
  <c r="H17" i="4"/>
  <c r="G17" i="4"/>
  <c r="F17" i="4"/>
  <c r="E17" i="4"/>
  <c r="D17" i="4"/>
  <c r="C18" i="4"/>
  <c r="B17" i="4"/>
  <c r="I16" i="4"/>
  <c r="H16" i="4"/>
  <c r="G16" i="4"/>
  <c r="F16" i="4"/>
  <c r="E16" i="4"/>
  <c r="D16" i="4"/>
  <c r="C17" i="4"/>
  <c r="B16" i="4"/>
  <c r="I15" i="4"/>
  <c r="H15" i="4"/>
  <c r="G15" i="4"/>
  <c r="F15" i="4"/>
  <c r="E15" i="4"/>
  <c r="D15" i="4"/>
  <c r="C16" i="4"/>
  <c r="B15" i="4"/>
  <c r="I14" i="4"/>
  <c r="H14" i="4"/>
  <c r="G14" i="4"/>
  <c r="F14" i="4"/>
  <c r="E14" i="4"/>
  <c r="D14" i="4"/>
  <c r="C15" i="4"/>
  <c r="B14" i="4"/>
  <c r="I13" i="4"/>
  <c r="H13" i="4"/>
  <c r="G13" i="4"/>
  <c r="F13" i="4"/>
  <c r="E13" i="4"/>
  <c r="D13" i="4"/>
  <c r="C14" i="4"/>
  <c r="B13" i="4"/>
  <c r="I12" i="4"/>
  <c r="H12" i="4"/>
  <c r="G12" i="4"/>
  <c r="F12" i="4"/>
  <c r="E12" i="4"/>
  <c r="D12" i="4"/>
  <c r="C13" i="4"/>
  <c r="B12" i="4"/>
  <c r="B7" i="1"/>
  <c r="R28" i="8"/>
  <c r="R28" i="8" a="1"/>
  <c r="Q28" i="8"/>
  <c r="Q28" i="8" a="1"/>
  <c r="P28" i="8"/>
  <c r="P28" i="8" a="1"/>
  <c r="O28" i="8"/>
  <c r="O28" i="8" a="1"/>
  <c r="N28" i="8"/>
  <c r="N28" i="8" a="1"/>
  <c r="M28" i="8"/>
  <c r="M28" i="8" a="1"/>
  <c r="L28" i="8"/>
  <c r="L28" i="8" a="1"/>
  <c r="K28" i="8"/>
  <c r="K28" i="8" a="1"/>
  <c r="J28" i="8"/>
  <c r="J28" i="8" a="1"/>
  <c r="I28" i="8"/>
  <c r="I28" i="8" a="1"/>
  <c r="H28" i="8"/>
  <c r="H28" i="8" a="1"/>
  <c r="G28" i="8"/>
  <c r="G28" i="8" a="1"/>
  <c r="F28" i="8"/>
  <c r="F28" i="8" a="1"/>
  <c r="E28" i="8"/>
  <c r="E28" i="8" a="1"/>
  <c r="D28" i="8"/>
  <c r="D28" i="8" a="1"/>
  <c r="C28" i="8"/>
  <c r="C28" i="8" a="1"/>
  <c r="R25" i="8"/>
  <c r="R25" i="8" a="1"/>
  <c r="Q25" i="8"/>
  <c r="Q25" i="8" a="1"/>
  <c r="P25" i="8"/>
  <c r="P25" i="8" a="1"/>
  <c r="O25" i="8"/>
  <c r="O25" i="8" a="1"/>
  <c r="N25" i="8"/>
  <c r="N25" i="8" a="1"/>
  <c r="M25" i="8"/>
  <c r="M25" i="8" a="1"/>
  <c r="L25" i="8"/>
  <c r="L25" i="8" a="1"/>
  <c r="K25" i="8"/>
  <c r="K25" i="8" a="1"/>
  <c r="J25" i="8"/>
  <c r="J25" i="8" a="1"/>
  <c r="I25" i="8"/>
  <c r="I25" i="8" a="1"/>
  <c r="H25" i="8"/>
  <c r="H25" i="8" a="1"/>
  <c r="G25" i="8"/>
  <c r="G25" i="8" a="1"/>
  <c r="F25" i="8"/>
  <c r="F25" i="8" a="1"/>
  <c r="E25" i="8"/>
  <c r="E25" i="8" a="1"/>
  <c r="D25" i="8"/>
  <c r="D25" i="8" a="1"/>
  <c r="C25" i="8"/>
  <c r="C25" i="8" a="1"/>
  <c r="L202" i="5"/>
  <c r="L201" i="5"/>
  <c r="L200" i="5"/>
  <c r="L199" i="5"/>
  <c r="L198" i="5"/>
  <c r="L197" i="5"/>
  <c r="L196" i="5"/>
  <c r="L195" i="5"/>
  <c r="L203" i="5" s="1"/>
  <c r="L186" i="5"/>
  <c r="L185" i="5"/>
  <c r="L184" i="5"/>
  <c r="L183" i="5"/>
  <c r="L182" i="5"/>
  <c r="L181" i="5"/>
  <c r="L180" i="5"/>
  <c r="L179" i="5"/>
  <c r="L187" i="5" s="1"/>
  <c r="L170" i="5"/>
  <c r="L169" i="5"/>
  <c r="L168" i="5"/>
  <c r="L167" i="5"/>
  <c r="L166" i="5"/>
  <c r="L165" i="5"/>
  <c r="L164" i="5"/>
  <c r="L163" i="5"/>
  <c r="L171" i="5" s="1"/>
  <c r="L154" i="5"/>
  <c r="L153" i="5"/>
  <c r="L152" i="5"/>
  <c r="L151" i="5"/>
  <c r="L150" i="5"/>
  <c r="L149" i="5"/>
  <c r="L148" i="5"/>
  <c r="L147" i="5"/>
  <c r="L155" i="5" s="1"/>
  <c r="L138" i="5"/>
  <c r="L137" i="5"/>
  <c r="L136" i="5"/>
  <c r="L135" i="5"/>
  <c r="L134" i="5"/>
  <c r="L133" i="5"/>
  <c r="L132" i="5"/>
  <c r="L131" i="5"/>
  <c r="L139" i="5" s="1"/>
  <c r="L122" i="5"/>
  <c r="L121" i="5"/>
  <c r="L120" i="5"/>
  <c r="L119" i="5"/>
  <c r="L118" i="5"/>
  <c r="L117" i="5"/>
  <c r="L116" i="5"/>
  <c r="L115" i="5"/>
  <c r="L123" i="5" s="1"/>
  <c r="L106" i="5"/>
  <c r="L105" i="5"/>
  <c r="L104" i="5"/>
  <c r="L103" i="5"/>
  <c r="L102" i="5"/>
  <c r="L101" i="5"/>
  <c r="L100" i="5"/>
  <c r="L99" i="5"/>
  <c r="L107" i="5" s="1"/>
  <c r="L90" i="5"/>
  <c r="L89" i="5"/>
  <c r="L88" i="5"/>
  <c r="L87" i="5"/>
  <c r="L86" i="5"/>
  <c r="L85" i="5"/>
  <c r="L84" i="5"/>
  <c r="L83" i="5"/>
  <c r="L91" i="5" s="1"/>
  <c r="L74" i="5"/>
  <c r="L73" i="5"/>
  <c r="L72" i="5"/>
  <c r="L71" i="5"/>
  <c r="L70" i="5"/>
  <c r="L69" i="5"/>
  <c r="L68" i="5"/>
  <c r="L67" i="5"/>
  <c r="L75" i="5" s="1"/>
  <c r="L58" i="5"/>
  <c r="L57" i="5"/>
  <c r="L56" i="5"/>
  <c r="L55" i="5"/>
  <c r="L54" i="5"/>
  <c r="L53" i="5"/>
  <c r="L52" i="5"/>
  <c r="L51" i="5"/>
  <c r="L59" i="5" s="1"/>
  <c r="L42" i="5"/>
  <c r="L41" i="5"/>
  <c r="L40" i="5"/>
  <c r="L39" i="5"/>
  <c r="L38" i="5"/>
  <c r="L37" i="5"/>
  <c r="L36" i="5"/>
  <c r="L35" i="5"/>
  <c r="L43" i="5" s="1"/>
  <c r="L26" i="5"/>
  <c r="L25" i="5"/>
  <c r="L24" i="5"/>
  <c r="L23" i="5"/>
  <c r="L22" i="5"/>
  <c r="L21" i="5"/>
  <c r="L20" i="5"/>
  <c r="L19" i="5"/>
  <c r="L27" i="5" s="1"/>
  <c r="L11" i="5"/>
  <c r="L10" i="5"/>
  <c r="L9" i="5"/>
  <c r="L8" i="5"/>
  <c r="L7" i="5"/>
  <c r="L6" i="5"/>
  <c r="L5" i="5"/>
  <c r="L4" i="5"/>
  <c r="L3" i="5"/>
  <c r="D140" i="5"/>
  <c r="E140" i="5"/>
  <c r="F140" i="5"/>
  <c r="G140" i="5"/>
  <c r="H140" i="5"/>
  <c r="I140" i="5"/>
  <c r="J140" i="5"/>
  <c r="C140" i="5"/>
  <c r="D108" i="2"/>
  <c r="E108" i="2"/>
  <c r="F108" i="2"/>
  <c r="G108" i="2"/>
  <c r="H108" i="2"/>
  <c r="I108" i="2"/>
  <c r="J108" i="2"/>
  <c r="C108" i="2"/>
  <c r="D92" i="2"/>
  <c r="E92" i="2"/>
  <c r="F92" i="2"/>
  <c r="G92" i="2"/>
  <c r="H92" i="2"/>
  <c r="I92" i="2"/>
  <c r="J92" i="2"/>
  <c r="C92" i="2"/>
  <c r="D76" i="2"/>
  <c r="E76" i="2"/>
  <c r="F76" i="2"/>
  <c r="G76" i="2"/>
  <c r="H76" i="2"/>
  <c r="I76" i="2"/>
  <c r="J76" i="2"/>
  <c r="C76" i="2"/>
  <c r="D60" i="2"/>
  <c r="E60" i="2"/>
  <c r="F60" i="2"/>
  <c r="G60" i="2"/>
  <c r="H60" i="2"/>
  <c r="I60" i="2"/>
  <c r="J60" i="2"/>
  <c r="C60" i="2"/>
  <c r="D44" i="2"/>
  <c r="E44" i="2"/>
  <c r="F44" i="2"/>
  <c r="G44" i="2"/>
  <c r="H44" i="2"/>
  <c r="I44" i="2"/>
  <c r="J44" i="2"/>
  <c r="C44" i="2"/>
  <c r="D28" i="2"/>
  <c r="E28" i="2"/>
  <c r="F28" i="2"/>
  <c r="G28" i="2"/>
  <c r="H28" i="2"/>
  <c r="I28" i="2"/>
  <c r="J28" i="2"/>
  <c r="C28" i="2"/>
  <c r="D172" i="5"/>
  <c r="E172" i="5"/>
  <c r="F172" i="5"/>
  <c r="G172" i="5"/>
  <c r="H172" i="5"/>
  <c r="I172" i="5"/>
  <c r="J172" i="5"/>
  <c r="C172" i="5"/>
  <c r="D156" i="5"/>
  <c r="E156" i="5"/>
  <c r="F156" i="5"/>
  <c r="G156" i="5"/>
  <c r="H156" i="5"/>
  <c r="I156" i="5"/>
  <c r="J156" i="5"/>
  <c r="C156" i="5"/>
  <c r="D124" i="5"/>
  <c r="E124" i="5"/>
  <c r="F124" i="5"/>
  <c r="G124" i="5"/>
  <c r="H124" i="5"/>
  <c r="I124" i="5"/>
  <c r="J124" i="5"/>
  <c r="C124" i="5"/>
  <c r="D108" i="5"/>
  <c r="E108" i="5"/>
  <c r="F108" i="5"/>
  <c r="G108" i="5"/>
  <c r="H108" i="5"/>
  <c r="I108" i="5"/>
  <c r="J108" i="5"/>
  <c r="C108" i="5"/>
  <c r="D92" i="5"/>
  <c r="E92" i="5"/>
  <c r="F92" i="5"/>
  <c r="G92" i="5"/>
  <c r="H92" i="5"/>
  <c r="I92" i="5"/>
  <c r="J92" i="5"/>
  <c r="C92" i="5"/>
  <c r="D76" i="5"/>
  <c r="E76" i="5"/>
  <c r="F76" i="5"/>
  <c r="G76" i="5"/>
  <c r="H76" i="5"/>
  <c r="I76" i="5"/>
  <c r="J76" i="5"/>
  <c r="C76" i="5"/>
  <c r="D44" i="5"/>
  <c r="E44" i="5"/>
  <c r="F44" i="5"/>
  <c r="G44" i="5"/>
  <c r="H44" i="5"/>
  <c r="I44" i="5"/>
  <c r="J44" i="5"/>
  <c r="D60" i="5"/>
  <c r="E60" i="5"/>
  <c r="F60" i="5"/>
  <c r="G60" i="5"/>
  <c r="H60" i="5"/>
  <c r="I60" i="5"/>
  <c r="J60" i="5"/>
  <c r="C60" i="5"/>
  <c r="K59" i="5"/>
  <c r="C44" i="5"/>
  <c r="D28" i="5"/>
  <c r="E28" i="5"/>
  <c r="F28" i="5"/>
  <c r="G28" i="5"/>
  <c r="H28" i="5"/>
  <c r="I28" i="5"/>
  <c r="J28" i="5"/>
  <c r="C28" i="5"/>
  <c r="AE20" i="8"/>
  <c r="AE41" i="8" s="1"/>
  <c r="AD20" i="8"/>
  <c r="AD41" i="8" s="1"/>
  <c r="AC20" i="8"/>
  <c r="AC41" i="8" s="1"/>
  <c r="AB20" i="8"/>
  <c r="AB41" i="8" s="1"/>
  <c r="AA20" i="8"/>
  <c r="AA41" i="8" s="1"/>
  <c r="Z20" i="8"/>
  <c r="Z41" i="8" s="1"/>
  <c r="AE19" i="8"/>
  <c r="AE40" i="8" s="1"/>
  <c r="AD19" i="8"/>
  <c r="AD40" i="8" s="1"/>
  <c r="AC19" i="8"/>
  <c r="AC40" i="8" s="1"/>
  <c r="AB19" i="8"/>
  <c r="AB40" i="8" s="1"/>
  <c r="AA19" i="8"/>
  <c r="AA40" i="8" s="1"/>
  <c r="Z19" i="8"/>
  <c r="Z40" i="8" s="1"/>
  <c r="AE18" i="8"/>
  <c r="AE39" i="8" s="1"/>
  <c r="AD18" i="8"/>
  <c r="AD39" i="8" s="1"/>
  <c r="AC18" i="8"/>
  <c r="AC39" i="8" s="1"/>
  <c r="AB18" i="8"/>
  <c r="AB39" i="8" s="1"/>
  <c r="AA18" i="8"/>
  <c r="AA39" i="8" s="1"/>
  <c r="Z18" i="8"/>
  <c r="Z39" i="8" s="1"/>
  <c r="AE17" i="8"/>
  <c r="AE38" i="8" s="1"/>
  <c r="AD17" i="8"/>
  <c r="AD38" i="8" s="1"/>
  <c r="AC17" i="8"/>
  <c r="AC38" i="8" s="1"/>
  <c r="AB17" i="8"/>
  <c r="AB38" i="8" s="1"/>
  <c r="AA17" i="8"/>
  <c r="AA38" i="8" s="1"/>
  <c r="Z17" i="8"/>
  <c r="Z38" i="8" s="1"/>
  <c r="AE16" i="8"/>
  <c r="AE37" i="8" s="1"/>
  <c r="AD16" i="8"/>
  <c r="AD37" i="8" s="1"/>
  <c r="AC16" i="8"/>
  <c r="AC37" i="8" s="1"/>
  <c r="AB16" i="8"/>
  <c r="AB37" i="8" s="1"/>
  <c r="AA16" i="8"/>
  <c r="AA37" i="8" s="1"/>
  <c r="Z16" i="8"/>
  <c r="Z37" i="8" s="1"/>
  <c r="AE15" i="8"/>
  <c r="AE36" i="8" s="1"/>
  <c r="AD15" i="8"/>
  <c r="AD36" i="8" s="1"/>
  <c r="AC15" i="8"/>
  <c r="AC36" i="8" s="1"/>
  <c r="AB15" i="8"/>
  <c r="AB36" i="8" s="1"/>
  <c r="AA15" i="8"/>
  <c r="AA36" i="8" s="1"/>
  <c r="Z15" i="8"/>
  <c r="Z36" i="8" s="1"/>
  <c r="AE14" i="8"/>
  <c r="AE35" i="8" s="1"/>
  <c r="AD14" i="8"/>
  <c r="AD35" i="8" s="1"/>
  <c r="AC14" i="8"/>
  <c r="AC35" i="8" s="1"/>
  <c r="AB14" i="8"/>
  <c r="AB35" i="8" s="1"/>
  <c r="AA14" i="8"/>
  <c r="AA35" i="8" s="1"/>
  <c r="Z14" i="8"/>
  <c r="Z35" i="8" s="1"/>
  <c r="AE13" i="8"/>
  <c r="AE34" i="8" s="1"/>
  <c r="AD13" i="8"/>
  <c r="AD34" i="8" s="1"/>
  <c r="AC13" i="8"/>
  <c r="AC34" i="8" s="1"/>
  <c r="AB13" i="8"/>
  <c r="AB34" i="8" s="1"/>
  <c r="AA13" i="8"/>
  <c r="AA34" i="8" s="1"/>
  <c r="Z13" i="8"/>
  <c r="Z34" i="8" s="1"/>
  <c r="AE12" i="8"/>
  <c r="AE33" i="8" s="1"/>
  <c r="AD12" i="8"/>
  <c r="AD33" i="8" s="1"/>
  <c r="AC12" i="8"/>
  <c r="AC33" i="8" s="1"/>
  <c r="AB12" i="8"/>
  <c r="AB33" i="8" s="1"/>
  <c r="AA12" i="8"/>
  <c r="AA33" i="8" s="1"/>
  <c r="Z12" i="8"/>
  <c r="Z33" i="8" s="1"/>
  <c r="AE11" i="8"/>
  <c r="AE32" i="8" s="1"/>
  <c r="AD11" i="8"/>
  <c r="AD32" i="8" s="1"/>
  <c r="AC11" i="8"/>
  <c r="AC32" i="8" s="1"/>
  <c r="AB11" i="8"/>
  <c r="AB32" i="8" s="1"/>
  <c r="AA11" i="8"/>
  <c r="AA32" i="8" s="1"/>
  <c r="Z11" i="8"/>
  <c r="Z32" i="8" s="1"/>
  <c r="AE10" i="8"/>
  <c r="AE31" i="8" s="1"/>
  <c r="AD10" i="8"/>
  <c r="AD31" i="8" s="1"/>
  <c r="AC10" i="8"/>
  <c r="AC31" i="8" s="1"/>
  <c r="AB10" i="8"/>
  <c r="AB31" i="8" s="1"/>
  <c r="AA10" i="8"/>
  <c r="AA31" i="8" s="1"/>
  <c r="Z10" i="8"/>
  <c r="Z31" i="8" s="1"/>
  <c r="V10" i="8"/>
  <c r="U10" i="8"/>
  <c r="AE9" i="8"/>
  <c r="AE30" i="8" s="1"/>
  <c r="AD9" i="8"/>
  <c r="AD30" i="8" s="1"/>
  <c r="AC9" i="8"/>
  <c r="AC30" i="8" s="1"/>
  <c r="AB9" i="8"/>
  <c r="AB30" i="8" s="1"/>
  <c r="AA9" i="8"/>
  <c r="AA30" i="8" s="1"/>
  <c r="Z9" i="8"/>
  <c r="Z30" i="8" s="1"/>
  <c r="V9" i="8"/>
  <c r="U9" i="8"/>
  <c r="AE8" i="8"/>
  <c r="AE29" i="8" s="1"/>
  <c r="AD8" i="8"/>
  <c r="AD29" i="8" s="1"/>
  <c r="AC8" i="8"/>
  <c r="AC29" i="8" s="1"/>
  <c r="AB8" i="8"/>
  <c r="AB29" i="8" s="1"/>
  <c r="AA8" i="8"/>
  <c r="AA29" i="8" s="1"/>
  <c r="Z8" i="8"/>
  <c r="Z29" i="8" s="1"/>
  <c r="V8" i="8"/>
  <c r="U8" i="8"/>
  <c r="AE7" i="8"/>
  <c r="AE28" i="8" s="1"/>
  <c r="AD7" i="8"/>
  <c r="AD28" i="8" s="1"/>
  <c r="AC7" i="8"/>
  <c r="AC28" i="8" s="1"/>
  <c r="AB7" i="8"/>
  <c r="AB28" i="8" s="1"/>
  <c r="AA7" i="8"/>
  <c r="AA28" i="8" s="1"/>
  <c r="Z7" i="8"/>
  <c r="Z28" i="8" s="1"/>
  <c r="V7" i="8"/>
  <c r="U7" i="8"/>
  <c r="AE6" i="8"/>
  <c r="AE27" i="8" s="1"/>
  <c r="AD6" i="8"/>
  <c r="AD27" i="8" s="1"/>
  <c r="AC6" i="8"/>
  <c r="AC27" i="8" s="1"/>
  <c r="AB6" i="8"/>
  <c r="AB27" i="8" s="1"/>
  <c r="AA6" i="8"/>
  <c r="AA27" i="8" s="1"/>
  <c r="Z6" i="8"/>
  <c r="V6" i="8"/>
  <c r="U6" i="8"/>
  <c r="AE5" i="8"/>
  <c r="AE26" i="8" s="1"/>
  <c r="AD5" i="8"/>
  <c r="AD26" i="8" s="1"/>
  <c r="AC5" i="8"/>
  <c r="AC26" i="8" s="1"/>
  <c r="AB5" i="8"/>
  <c r="AB26" i="8" s="1"/>
  <c r="AA5" i="8"/>
  <c r="AA26" i="8" s="1"/>
  <c r="Z5" i="8"/>
  <c r="Z26" i="8" s="1"/>
  <c r="V5" i="8"/>
  <c r="U5" i="8"/>
  <c r="V4" i="8"/>
  <c r="U4" i="8"/>
  <c r="V3" i="8"/>
  <c r="U3" i="8"/>
  <c r="E40" i="7"/>
  <c r="E39" i="7"/>
  <c r="E38" i="7"/>
  <c r="AL33" i="7"/>
  <c r="AK33" i="7"/>
  <c r="I40" i="7" s="1"/>
  <c r="AG33" i="7"/>
  <c r="AF33" i="7"/>
  <c r="H40" i="7" s="1"/>
  <c r="AB33" i="7"/>
  <c r="AA33" i="7"/>
  <c r="G40" i="7" s="1"/>
  <c r="W33" i="7"/>
  <c r="V33" i="7"/>
  <c r="F40" i="7" s="1"/>
  <c r="R33" i="7"/>
  <c r="Q33" i="7"/>
  <c r="M33" i="7"/>
  <c r="L33" i="7"/>
  <c r="D40" i="7" s="1"/>
  <c r="H33" i="7"/>
  <c r="G33" i="7"/>
  <c r="C40" i="7" s="1"/>
  <c r="C33" i="7"/>
  <c r="B33" i="7"/>
  <c r="B40" i="7" s="1"/>
  <c r="AL32" i="7"/>
  <c r="AK32" i="7"/>
  <c r="I39" i="7" s="1"/>
  <c r="AG32" i="7"/>
  <c r="AF32" i="7"/>
  <c r="H39" i="7" s="1"/>
  <c r="AB32" i="7"/>
  <c r="AA32" i="7"/>
  <c r="G39" i="7" s="1"/>
  <c r="W32" i="7"/>
  <c r="V32" i="7"/>
  <c r="F39" i="7" s="1"/>
  <c r="R32" i="7"/>
  <c r="Q32" i="7"/>
  <c r="M32" i="7"/>
  <c r="L32" i="7"/>
  <c r="D39" i="7" s="1"/>
  <c r="H32" i="7"/>
  <c r="G32" i="7"/>
  <c r="C39" i="7" s="1"/>
  <c r="C32" i="7"/>
  <c r="B32" i="7"/>
  <c r="B39" i="7" s="1"/>
  <c r="AL31" i="7"/>
  <c r="AK31" i="7"/>
  <c r="I38" i="7" s="1"/>
  <c r="AG31" i="7"/>
  <c r="AF31" i="7"/>
  <c r="H38" i="7" s="1"/>
  <c r="AB31" i="7"/>
  <c r="AA31" i="7"/>
  <c r="G38" i="7" s="1"/>
  <c r="W31" i="7"/>
  <c r="V31" i="7"/>
  <c r="F38" i="7" s="1"/>
  <c r="R31" i="7"/>
  <c r="Q31" i="7"/>
  <c r="M31" i="7"/>
  <c r="L31" i="7"/>
  <c r="D38" i="7" s="1"/>
  <c r="H31" i="7"/>
  <c r="G31" i="7"/>
  <c r="C38" i="7" s="1"/>
  <c r="C31" i="7"/>
  <c r="B31" i="7"/>
  <c r="B38" i="7" s="1"/>
  <c r="AK28" i="7"/>
  <c r="AF28" i="7"/>
  <c r="AF27" i="7" s="1"/>
  <c r="AA28" i="7"/>
  <c r="V28" i="7"/>
  <c r="Q28" i="7"/>
  <c r="Q27" i="7" s="1"/>
  <c r="L28" i="7"/>
  <c r="G28" i="7"/>
  <c r="G26" i="7" s="1"/>
  <c r="B28" i="7"/>
  <c r="B27" i="7" s="1"/>
  <c r="AK27" i="7"/>
  <c r="AA27" i="7"/>
  <c r="V27" i="7"/>
  <c r="L27" i="7"/>
  <c r="G27" i="7"/>
  <c r="AK26" i="7"/>
  <c r="AA26" i="7"/>
  <c r="V26" i="7"/>
  <c r="L26" i="7"/>
  <c r="B202" i="5"/>
  <c r="B201" i="5"/>
  <c r="B200" i="5"/>
  <c r="B199" i="5"/>
  <c r="B198" i="5"/>
  <c r="B197" i="5"/>
  <c r="B196" i="5"/>
  <c r="B195" i="5"/>
  <c r="B186" i="5"/>
  <c r="B185" i="5"/>
  <c r="B184" i="5"/>
  <c r="B183" i="5"/>
  <c r="B182" i="5"/>
  <c r="B181" i="5"/>
  <c r="B180" i="5"/>
  <c r="B179" i="5"/>
  <c r="B170" i="5"/>
  <c r="B169" i="5"/>
  <c r="B168" i="5"/>
  <c r="B167" i="5"/>
  <c r="B166" i="5"/>
  <c r="B165" i="5"/>
  <c r="B164" i="5"/>
  <c r="B163" i="5"/>
  <c r="B154" i="5"/>
  <c r="B153" i="5"/>
  <c r="B152" i="5"/>
  <c r="B151" i="5"/>
  <c r="B150" i="5"/>
  <c r="B149" i="5"/>
  <c r="B148" i="5"/>
  <c r="B147" i="5"/>
  <c r="B138" i="5"/>
  <c r="B137" i="5"/>
  <c r="B136" i="5"/>
  <c r="B135" i="5"/>
  <c r="B134" i="5"/>
  <c r="B133" i="5"/>
  <c r="B132" i="5"/>
  <c r="B131" i="5"/>
  <c r="B122" i="5"/>
  <c r="B121" i="5"/>
  <c r="B120" i="5"/>
  <c r="B119" i="5"/>
  <c r="B118" i="5"/>
  <c r="B117" i="5"/>
  <c r="B116" i="5"/>
  <c r="B115" i="5"/>
  <c r="B106" i="5"/>
  <c r="B105" i="5"/>
  <c r="B104" i="5"/>
  <c r="B103" i="5"/>
  <c r="B102" i="5"/>
  <c r="B101" i="5"/>
  <c r="B100" i="5"/>
  <c r="B99" i="5"/>
  <c r="B90" i="5"/>
  <c r="B89" i="5"/>
  <c r="B88" i="5"/>
  <c r="B87" i="5"/>
  <c r="B86" i="5"/>
  <c r="B85" i="5"/>
  <c r="B84" i="5"/>
  <c r="B83" i="5"/>
  <c r="B74" i="5"/>
  <c r="B73" i="5"/>
  <c r="B72" i="5"/>
  <c r="B71" i="5"/>
  <c r="B70" i="5"/>
  <c r="B69" i="5"/>
  <c r="B68" i="5"/>
  <c r="B67" i="5"/>
  <c r="B58" i="5"/>
  <c r="B57" i="5"/>
  <c r="B56" i="5"/>
  <c r="B55" i="5"/>
  <c r="B54" i="5"/>
  <c r="B53" i="5"/>
  <c r="B52" i="5"/>
  <c r="B51" i="5"/>
  <c r="B42" i="5"/>
  <c r="B41" i="5"/>
  <c r="B40" i="5"/>
  <c r="B39" i="5"/>
  <c r="B38" i="5"/>
  <c r="B37" i="5"/>
  <c r="B36" i="5"/>
  <c r="B35" i="5"/>
  <c r="B26" i="5"/>
  <c r="B25" i="5"/>
  <c r="B24" i="5"/>
  <c r="B23" i="5"/>
  <c r="B22" i="5"/>
  <c r="B21" i="5"/>
  <c r="B20" i="5"/>
  <c r="B19" i="5"/>
  <c r="J171" i="5"/>
  <c r="I171" i="5"/>
  <c r="H171" i="5"/>
  <c r="G171" i="5"/>
  <c r="F171" i="5"/>
  <c r="E171" i="5"/>
  <c r="D171" i="5"/>
  <c r="C171" i="5"/>
  <c r="J155" i="5"/>
  <c r="I155" i="5"/>
  <c r="H155" i="5"/>
  <c r="G155" i="5"/>
  <c r="F155" i="5"/>
  <c r="E155" i="5"/>
  <c r="D155" i="5"/>
  <c r="C155" i="5"/>
  <c r="J139" i="5"/>
  <c r="I139" i="5"/>
  <c r="H139" i="5"/>
  <c r="G139" i="5"/>
  <c r="F139" i="5"/>
  <c r="E139" i="5"/>
  <c r="D139" i="5"/>
  <c r="C139" i="5"/>
  <c r="J123" i="5"/>
  <c r="I123" i="5"/>
  <c r="H123" i="5"/>
  <c r="G123" i="5"/>
  <c r="F123" i="5"/>
  <c r="E123" i="5"/>
  <c r="D123" i="5"/>
  <c r="C123" i="5"/>
  <c r="J107" i="5"/>
  <c r="I107" i="5"/>
  <c r="H107" i="5"/>
  <c r="G107" i="5"/>
  <c r="F107" i="5"/>
  <c r="E107" i="5"/>
  <c r="D107" i="5"/>
  <c r="C107" i="5"/>
  <c r="J91" i="5"/>
  <c r="I91" i="5"/>
  <c r="H91" i="5"/>
  <c r="G91" i="5"/>
  <c r="F91" i="5"/>
  <c r="E91" i="5"/>
  <c r="D91" i="5"/>
  <c r="C91" i="5"/>
  <c r="J75" i="5"/>
  <c r="I75" i="5"/>
  <c r="H75" i="5"/>
  <c r="G75" i="5"/>
  <c r="F75" i="5"/>
  <c r="E75" i="5"/>
  <c r="D75" i="5"/>
  <c r="C75" i="5"/>
  <c r="J59" i="5"/>
  <c r="I59" i="5"/>
  <c r="H59" i="5"/>
  <c r="G59" i="5"/>
  <c r="F59" i="5"/>
  <c r="E59" i="5"/>
  <c r="D59" i="5"/>
  <c r="C59" i="5"/>
  <c r="J43" i="5"/>
  <c r="I43" i="5"/>
  <c r="H43" i="5"/>
  <c r="G43" i="5"/>
  <c r="F43" i="5"/>
  <c r="E43" i="5"/>
  <c r="D43" i="5"/>
  <c r="C43" i="5"/>
  <c r="J27" i="5"/>
  <c r="I27" i="5"/>
  <c r="H27" i="5"/>
  <c r="G27" i="5"/>
  <c r="F27" i="5"/>
  <c r="E27" i="5"/>
  <c r="D27" i="5"/>
  <c r="C27" i="5"/>
  <c r="J11" i="5"/>
  <c r="I11" i="5"/>
  <c r="H11" i="5"/>
  <c r="G11" i="5"/>
  <c r="F11" i="5"/>
  <c r="E11" i="5"/>
  <c r="D11" i="5"/>
  <c r="C11" i="5"/>
  <c r="J107" i="2"/>
  <c r="I107" i="2"/>
  <c r="H107" i="2"/>
  <c r="G107" i="2"/>
  <c r="F107" i="2"/>
  <c r="E107" i="2"/>
  <c r="D107" i="2"/>
  <c r="C107" i="2"/>
  <c r="J91" i="2"/>
  <c r="I91" i="2"/>
  <c r="H91" i="2"/>
  <c r="G91" i="2"/>
  <c r="F91" i="2"/>
  <c r="E91" i="2"/>
  <c r="D91" i="2"/>
  <c r="C91" i="2"/>
  <c r="J75" i="2"/>
  <c r="I75" i="2"/>
  <c r="H75" i="2"/>
  <c r="G75" i="2"/>
  <c r="F75" i="2"/>
  <c r="E75" i="2"/>
  <c r="D75" i="2"/>
  <c r="C75" i="2"/>
  <c r="J59" i="2"/>
  <c r="I59" i="2"/>
  <c r="H59" i="2"/>
  <c r="G59" i="2"/>
  <c r="F59" i="2"/>
  <c r="E59" i="2"/>
  <c r="D59" i="2"/>
  <c r="C59" i="2"/>
  <c r="J43" i="2"/>
  <c r="I43" i="2"/>
  <c r="H43" i="2"/>
  <c r="G43" i="2"/>
  <c r="F43" i="2"/>
  <c r="E43" i="2"/>
  <c r="D43" i="2"/>
  <c r="C43" i="2"/>
  <c r="J27" i="2"/>
  <c r="I27" i="2"/>
  <c r="H27" i="2"/>
  <c r="G27" i="2"/>
  <c r="F27" i="2"/>
  <c r="E27" i="2"/>
  <c r="D27" i="2"/>
  <c r="C27" i="2"/>
  <c r="J203" i="5"/>
  <c r="I203" i="5"/>
  <c r="H203" i="5"/>
  <c r="G203" i="5"/>
  <c r="F203" i="5"/>
  <c r="E203" i="5"/>
  <c r="D203" i="5"/>
  <c r="C203" i="5"/>
  <c r="K202" i="5"/>
  <c r="K201" i="5"/>
  <c r="K200" i="5"/>
  <c r="K199" i="5"/>
  <c r="K198" i="5"/>
  <c r="K197" i="5"/>
  <c r="N196" i="5"/>
  <c r="K196" i="5"/>
  <c r="K195" i="5"/>
  <c r="J187" i="5"/>
  <c r="I187" i="5"/>
  <c r="H187" i="5"/>
  <c r="G187" i="5"/>
  <c r="F187" i="5"/>
  <c r="E187" i="5"/>
  <c r="D187" i="5"/>
  <c r="C187" i="5"/>
  <c r="K186" i="5"/>
  <c r="K185" i="5"/>
  <c r="K184" i="5"/>
  <c r="K183" i="5"/>
  <c r="K182" i="5"/>
  <c r="K181" i="5"/>
  <c r="K180" i="5"/>
  <c r="K179" i="5"/>
  <c r="K170" i="5"/>
  <c r="K169" i="5"/>
  <c r="K168" i="5"/>
  <c r="K167" i="5"/>
  <c r="K166" i="5"/>
  <c r="K165" i="5"/>
  <c r="K164" i="5"/>
  <c r="K163" i="5"/>
  <c r="K154" i="5"/>
  <c r="K153" i="5"/>
  <c r="K152" i="5"/>
  <c r="K151" i="5"/>
  <c r="K150" i="5"/>
  <c r="K149" i="5"/>
  <c r="K148" i="5"/>
  <c r="K147" i="5"/>
  <c r="K138" i="5"/>
  <c r="K137" i="5"/>
  <c r="K136" i="5"/>
  <c r="K135" i="5"/>
  <c r="K134" i="5"/>
  <c r="K133" i="5"/>
  <c r="K132" i="5"/>
  <c r="K131" i="5"/>
  <c r="K122" i="5"/>
  <c r="K121" i="5"/>
  <c r="K120" i="5"/>
  <c r="K119" i="5"/>
  <c r="K118" i="5"/>
  <c r="K117" i="5"/>
  <c r="K116" i="5"/>
  <c r="K115" i="5"/>
  <c r="K106" i="5"/>
  <c r="K105" i="5"/>
  <c r="K104" i="5"/>
  <c r="K103" i="5"/>
  <c r="K102" i="5"/>
  <c r="K101" i="5"/>
  <c r="K100" i="5"/>
  <c r="K99" i="5"/>
  <c r="K90" i="5"/>
  <c r="K89" i="5"/>
  <c r="K88" i="5"/>
  <c r="K87" i="5"/>
  <c r="K86" i="5"/>
  <c r="K85" i="5"/>
  <c r="K84" i="5"/>
  <c r="K83" i="5"/>
  <c r="K74" i="5"/>
  <c r="K73" i="5"/>
  <c r="K72" i="5"/>
  <c r="K71" i="5"/>
  <c r="K70" i="5"/>
  <c r="K69" i="5"/>
  <c r="K68" i="5"/>
  <c r="K67" i="5"/>
  <c r="K58" i="5"/>
  <c r="K57" i="5"/>
  <c r="K56" i="5"/>
  <c r="K55" i="5"/>
  <c r="K54" i="5"/>
  <c r="K53" i="5"/>
  <c r="K52" i="5"/>
  <c r="K51" i="5"/>
  <c r="K42" i="5"/>
  <c r="K41" i="5"/>
  <c r="K40" i="5"/>
  <c r="K39" i="5"/>
  <c r="K38" i="5"/>
  <c r="K37" i="5"/>
  <c r="K36" i="5"/>
  <c r="K35" i="5"/>
  <c r="K26" i="5"/>
  <c r="K25" i="5"/>
  <c r="K24" i="5"/>
  <c r="K23" i="5"/>
  <c r="K22" i="5"/>
  <c r="K21" i="5"/>
  <c r="N20" i="5"/>
  <c r="N36" i="5" s="1"/>
  <c r="N52" i="5" s="1"/>
  <c r="N68" i="5" s="1"/>
  <c r="N84" i="5" s="1"/>
  <c r="N100" i="5" s="1"/>
  <c r="N116" i="5" s="1"/>
  <c r="N132" i="5" s="1"/>
  <c r="N148" i="5" s="1"/>
  <c r="N164" i="5" s="1"/>
  <c r="N180" i="5" s="1"/>
  <c r="K20" i="5"/>
  <c r="K19" i="5"/>
  <c r="K10" i="5"/>
  <c r="K9" i="5"/>
  <c r="K8" i="5"/>
  <c r="K7" i="5"/>
  <c r="K6" i="5"/>
  <c r="K5" i="5"/>
  <c r="K4" i="5"/>
  <c r="K3" i="5"/>
  <c r="K106" i="2"/>
  <c r="K105" i="2"/>
  <c r="K104" i="2"/>
  <c r="K103" i="2"/>
  <c r="K102" i="2"/>
  <c r="K101" i="2"/>
  <c r="K100" i="2"/>
  <c r="K99" i="2"/>
  <c r="K90" i="2"/>
  <c r="K89" i="2"/>
  <c r="K88" i="2"/>
  <c r="K87" i="2"/>
  <c r="K86" i="2"/>
  <c r="K85" i="2"/>
  <c r="K84" i="2"/>
  <c r="K83" i="2"/>
  <c r="K74" i="2"/>
  <c r="K73" i="2"/>
  <c r="K72" i="2"/>
  <c r="K71" i="2"/>
  <c r="K70" i="2"/>
  <c r="K69" i="2"/>
  <c r="K68" i="2"/>
  <c r="K58" i="2"/>
  <c r="K57" i="2"/>
  <c r="K56" i="2"/>
  <c r="K55" i="2"/>
  <c r="K54" i="2"/>
  <c r="K53" i="2"/>
  <c r="K52" i="2"/>
  <c r="K51" i="2"/>
  <c r="K42" i="2"/>
  <c r="K41" i="2"/>
  <c r="K40" i="2"/>
  <c r="K39" i="2"/>
  <c r="K38" i="2"/>
  <c r="K37" i="2"/>
  <c r="K36" i="2"/>
  <c r="K35" i="2"/>
  <c r="K26" i="2"/>
  <c r="K25" i="2"/>
  <c r="K24" i="2"/>
  <c r="K23" i="2"/>
  <c r="K22" i="2"/>
  <c r="K21" i="2"/>
  <c r="K20" i="2"/>
  <c r="K19" i="2"/>
  <c r="J11" i="2"/>
  <c r="I11" i="2"/>
  <c r="H11" i="2"/>
  <c r="G11" i="2"/>
  <c r="F11" i="2"/>
  <c r="E11" i="2"/>
  <c r="D11" i="2"/>
  <c r="C11" i="2"/>
  <c r="K10" i="2"/>
  <c r="K9" i="2"/>
  <c r="K8" i="2"/>
  <c r="K7" i="2"/>
  <c r="K6" i="2"/>
  <c r="K5" i="2"/>
  <c r="K4" i="2"/>
  <c r="K3" i="2"/>
  <c r="H18" i="1"/>
  <c r="G18" i="1"/>
  <c r="F18" i="1"/>
  <c r="E18" i="1"/>
  <c r="H17" i="1"/>
  <c r="G17" i="1"/>
  <c r="F17" i="1"/>
  <c r="E17" i="1"/>
  <c r="K187" i="5" l="1"/>
  <c r="I188" i="5" s="1"/>
  <c r="Q26" i="7"/>
  <c r="B26" i="7"/>
  <c r="AF26" i="7"/>
  <c r="K155" i="5"/>
  <c r="J12" i="5"/>
  <c r="K27" i="5"/>
  <c r="K123" i="5"/>
  <c r="K43" i="5"/>
  <c r="K171" i="5"/>
  <c r="K43" i="2"/>
  <c r="K107" i="2"/>
  <c r="G2" i="3" s="1"/>
  <c r="K11" i="2"/>
  <c r="L10" i="2" s="1"/>
  <c r="K59" i="2"/>
  <c r="L55" i="2" s="1"/>
  <c r="C3" i="3"/>
  <c r="K27" i="2"/>
  <c r="L21" i="2" s="1"/>
  <c r="K11" i="5"/>
  <c r="L3" i="2"/>
  <c r="L7" i="2"/>
  <c r="L4" i="2"/>
  <c r="J12" i="2"/>
  <c r="L9" i="2"/>
  <c r="I12" i="2"/>
  <c r="L5" i="2"/>
  <c r="L8" i="2"/>
  <c r="L103" i="2"/>
  <c r="G8" i="3"/>
  <c r="L101" i="2"/>
  <c r="G4" i="3"/>
  <c r="L104" i="2"/>
  <c r="G3" i="3"/>
  <c r="G5" i="3"/>
  <c r="L102" i="2"/>
  <c r="L105" i="2"/>
  <c r="L106" i="2"/>
  <c r="L100" i="2"/>
  <c r="D12" i="2"/>
  <c r="L41" i="2"/>
  <c r="L37" i="2"/>
  <c r="L42" i="2"/>
  <c r="L40" i="2"/>
  <c r="C4" i="3"/>
  <c r="L35" i="2"/>
  <c r="L39" i="2"/>
  <c r="C8" i="3"/>
  <c r="C7" i="3"/>
  <c r="L38" i="2"/>
  <c r="L36" i="2"/>
  <c r="L20" i="2"/>
  <c r="B6" i="3"/>
  <c r="G7" i="3"/>
  <c r="G6" i="3"/>
  <c r="G12" i="2"/>
  <c r="C9" i="3"/>
  <c r="K91" i="2"/>
  <c r="F4" i="3" s="1"/>
  <c r="H12" i="2"/>
  <c r="B4" i="3"/>
  <c r="C12" i="2"/>
  <c r="B7" i="3"/>
  <c r="G9" i="3"/>
  <c r="K107" i="5"/>
  <c r="D6" i="3"/>
  <c r="K91" i="5"/>
  <c r="B8" i="3"/>
  <c r="C6" i="3"/>
  <c r="C5" i="3"/>
  <c r="K139" i="5"/>
  <c r="E188" i="5"/>
  <c r="K75" i="5"/>
  <c r="K203" i="5"/>
  <c r="E204" i="5" s="1"/>
  <c r="I12" i="5" l="1"/>
  <c r="D12" i="5"/>
  <c r="J188" i="5"/>
  <c r="C12" i="5"/>
  <c r="G188" i="5"/>
  <c r="G12" i="5"/>
  <c r="H188" i="5"/>
  <c r="E12" i="5"/>
  <c r="C188" i="5"/>
  <c r="K188" i="5" s="1"/>
  <c r="D188" i="5"/>
  <c r="F188" i="5"/>
  <c r="H12" i="5"/>
  <c r="F12" i="5"/>
  <c r="K124" i="5"/>
  <c r="K44" i="5"/>
  <c r="K156" i="5"/>
  <c r="L99" i="2"/>
  <c r="L19" i="2"/>
  <c r="L24" i="2"/>
  <c r="B9" i="3"/>
  <c r="L22" i="2"/>
  <c r="L26" i="2"/>
  <c r="L23" i="2"/>
  <c r="L27" i="2" s="1"/>
  <c r="B5" i="3"/>
  <c r="L53" i="2"/>
  <c r="B3" i="3"/>
  <c r="L25" i="2"/>
  <c r="D9" i="3"/>
  <c r="L56" i="2"/>
  <c r="F12" i="2"/>
  <c r="E12" i="2"/>
  <c r="L6" i="2"/>
  <c r="L11" i="2"/>
  <c r="F9" i="3"/>
  <c r="D8" i="3"/>
  <c r="D5" i="3"/>
  <c r="L51" i="2"/>
  <c r="D7" i="3"/>
  <c r="L52" i="2"/>
  <c r="D3" i="3"/>
  <c r="L57" i="2"/>
  <c r="D4" i="3"/>
  <c r="L54" i="2"/>
  <c r="L58" i="2"/>
  <c r="K28" i="5"/>
  <c r="I204" i="5"/>
  <c r="K12" i="5"/>
  <c r="K28" i="2"/>
  <c r="B2" i="3"/>
  <c r="K108" i="2"/>
  <c r="L107" i="2"/>
  <c r="K12" i="2"/>
  <c r="D2" i="3"/>
  <c r="L87" i="2"/>
  <c r="L83" i="2"/>
  <c r="F6" i="3"/>
  <c r="L84" i="2"/>
  <c r="L86" i="2"/>
  <c r="L88" i="2"/>
  <c r="F5" i="3"/>
  <c r="F3" i="3"/>
  <c r="L89" i="2"/>
  <c r="L90" i="2"/>
  <c r="L85" i="2"/>
  <c r="F8" i="3"/>
  <c r="F7" i="3"/>
  <c r="K172" i="5"/>
  <c r="F204" i="5"/>
  <c r="K44" i="2"/>
  <c r="C2" i="3"/>
  <c r="C10" i="3" s="1"/>
  <c r="L43" i="2"/>
  <c r="J204" i="5"/>
  <c r="H204" i="5"/>
  <c r="C204" i="5"/>
  <c r="K204" i="5" s="1"/>
  <c r="D204" i="5"/>
  <c r="G204" i="5"/>
  <c r="K60" i="5"/>
  <c r="G10" i="3"/>
  <c r="K108" i="5" l="1"/>
  <c r="B10" i="3"/>
  <c r="L59" i="2"/>
  <c r="D10" i="3"/>
  <c r="K60" i="2"/>
  <c r="F2" i="3"/>
  <c r="F10" i="3" s="1"/>
  <c r="K92" i="2"/>
  <c r="K92" i="5"/>
  <c r="K76" i="5"/>
  <c r="L91" i="2"/>
  <c r="K140" i="5"/>
  <c r="K67" i="2"/>
  <c r="K75" i="2" s="1"/>
  <c r="L67" i="2" l="1"/>
  <c r="E4" i="3"/>
  <c r="E9" i="3"/>
  <c r="L70" i="2"/>
  <c r="E8" i="3"/>
  <c r="E3" i="3"/>
  <c r="L73" i="2"/>
  <c r="E5" i="3"/>
  <c r="L71" i="2"/>
  <c r="L74" i="2"/>
  <c r="L68" i="2"/>
  <c r="E7" i="3"/>
  <c r="L69" i="2"/>
  <c r="E6" i="3"/>
  <c r="L72" i="2"/>
  <c r="L75" i="2" l="1"/>
  <c r="E2" i="3"/>
  <c r="E10" i="3" s="1"/>
  <c r="K7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<sst xmlns="http://schemas.openxmlformats.org/spreadsheetml/2006/main" count="788" uniqueCount="144">
  <si>
    <t>Inicio Medición</t>
  </si>
  <si>
    <t>Vel max</t>
  </si>
  <si>
    <t>Fecha max</t>
  </si>
  <si>
    <t>Duración [días]</t>
  </si>
  <si>
    <t>Direccion max</t>
  </si>
  <si>
    <t>Indicador</t>
  </si>
  <si>
    <t>Vel.Viento [m/s]</t>
  </si>
  <si>
    <t>Racha. Viento [m/s]</t>
  </si>
  <si>
    <t>Dir. Viento [°]</t>
  </si>
  <si>
    <t>Componente U [m/s</t>
  </si>
  <si>
    <t>Componente V [m/s</t>
  </si>
  <si>
    <t>N° Datos</t>
  </si>
  <si>
    <t>Máximo</t>
  </si>
  <si>
    <t>Mínimo</t>
  </si>
  <si>
    <t>Promedio</t>
  </si>
  <si>
    <t>Des. Estándar</t>
  </si>
  <si>
    <t>Mediana</t>
  </si>
  <si>
    <t>-</t>
  </si>
  <si>
    <t>Percentil 75</t>
  </si>
  <si>
    <t>Percentil 95</t>
  </si>
  <si>
    <t>Componente</t>
  </si>
  <si>
    <t>Máxima [m/s]</t>
  </si>
  <si>
    <t>Mínima [m/s]</t>
  </si>
  <si>
    <t>Promedio [m/s]</t>
  </si>
  <si>
    <t>Des. Estándar [m/s]</t>
  </si>
  <si>
    <t>U</t>
  </si>
  <si>
    <t>V</t>
  </si>
  <si>
    <t>Direccion</t>
  </si>
  <si>
    <t>Cant. Datos</t>
  </si>
  <si>
    <t>Porcentaje</t>
  </si>
  <si>
    <t>DATOS COMPLETOS</t>
  </si>
  <si>
    <t>N</t>
  </si>
  <si>
    <t>NE</t>
  </si>
  <si>
    <t>E</t>
  </si>
  <si>
    <t>SE</t>
  </si>
  <si>
    <t>S</t>
  </si>
  <si>
    <t>SO</t>
  </si>
  <si>
    <t>O</t>
  </si>
  <si>
    <t>NO</t>
  </si>
  <si>
    <t>Rangos de Velocidad del Viento [m/s]</t>
  </si>
  <si>
    <t xml:space="preserve"> </t>
  </si>
  <si>
    <t>Velocidad [m/s]</t>
  </si>
  <si>
    <t>Máxima</t>
  </si>
  <si>
    <t>Desv. Estándar</t>
  </si>
  <si>
    <t>HORA 00</t>
  </si>
  <si>
    <t>HORA 04</t>
  </si>
  <si>
    <t>HORA 08</t>
  </si>
  <si>
    <t>HORA 12</t>
  </si>
  <si>
    <t>HORA 16</t>
  </si>
  <si>
    <t>HORA 20</t>
  </si>
  <si>
    <t>Dirección</t>
  </si>
  <si>
    <t>Hora 00</t>
  </si>
  <si>
    <t>Hora 04</t>
  </si>
  <si>
    <t>Hora 08</t>
  </si>
  <si>
    <t>Hora 12</t>
  </si>
  <si>
    <t>Hora 16</t>
  </si>
  <si>
    <t>Hora 20</t>
  </si>
  <si>
    <t>Total</t>
  </si>
  <si>
    <t>Cantidad de Datos</t>
  </si>
  <si>
    <t>Mediana (Percentil 50)</t>
  </si>
  <si>
    <t>Percentil 5</t>
  </si>
  <si>
    <t>marzo</t>
  </si>
  <si>
    <t>ERA5</t>
  </si>
  <si>
    <t>ERA-A</t>
  </si>
  <si>
    <t>Promedio Instrumento</t>
  </si>
  <si>
    <t>Promedio ERA5</t>
  </si>
  <si>
    <t>Sigma Instrumento</t>
  </si>
  <si>
    <t>Sigma ERA5</t>
  </si>
  <si>
    <t>MAE</t>
  </si>
  <si>
    <t>RMSE</t>
  </si>
  <si>
    <t>BIAS</t>
  </si>
  <si>
    <t>r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</si>
  <si>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vertAlign val="subscript"/>
        <sz val="11"/>
        <color theme="1"/>
        <rFont val="Aptos Narrow"/>
        <family val="2"/>
        <scheme val="minor"/>
      </rPr>
      <t>(0,0)</t>
    </r>
  </si>
  <si>
    <t>Norte</t>
  </si>
  <si>
    <t>Noreste</t>
  </si>
  <si>
    <t>Este</t>
  </si>
  <si>
    <t>Sureste</t>
  </si>
  <si>
    <t>Sur</t>
  </si>
  <si>
    <t>Suroeste</t>
  </si>
  <si>
    <t>Oeste</t>
  </si>
  <si>
    <t>Noroeste</t>
  </si>
  <si>
    <t>Método</t>
  </si>
  <si>
    <t>Fecha y Hora</t>
  </si>
  <si>
    <t>Vel. Viento [m/s]</t>
  </si>
  <si>
    <t>Cantidad POT</t>
  </si>
  <si>
    <t>Cantidad GEV</t>
  </si>
  <si>
    <t>Ambos</t>
  </si>
  <si>
    <t>POT</t>
  </si>
  <si>
    <t>GEV</t>
  </si>
  <si>
    <t>Máximo m/s</t>
  </si>
  <si>
    <t>Mínimo m/s</t>
  </si>
  <si>
    <t>Promedio m/s</t>
  </si>
  <si>
    <t>Tr [años]</t>
  </si>
  <si>
    <t>Ajuste</t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</si>
  <si>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50 años</t>
    </r>
  </si>
  <si>
    <t>Vel.viento [m/s]</t>
  </si>
  <si>
    <t>Dir.viento [°]</t>
  </si>
  <si>
    <t>central</t>
  </si>
  <si>
    <t>Variable</t>
  </si>
  <si>
    <t>Tr 10 años</t>
  </si>
  <si>
    <t>Tr 50 años</t>
  </si>
  <si>
    <t>máx (90%)</t>
  </si>
  <si>
    <t>min (90%)</t>
  </si>
  <si>
    <t>V [m/s]</t>
  </si>
  <si>
    <t>D [°]</t>
  </si>
  <si>
    <t xml:space="preserve">Datos asociados a banda superior de un intervalo de confianza al 90% </t>
  </si>
  <si>
    <t>Parámetros de Diseño Asociados a Viento</t>
  </si>
  <si>
    <t>(0°)</t>
  </si>
  <si>
    <t>(45°)</t>
  </si>
  <si>
    <t>(90°)</t>
  </si>
  <si>
    <t>(135°)</t>
  </si>
  <si>
    <t>(180°)</t>
  </si>
  <si>
    <t>(225°)</t>
  </si>
  <si>
    <t>(270°)</t>
  </si>
  <si>
    <t>(315°)</t>
  </si>
  <si>
    <t>N (0°)</t>
  </si>
  <si>
    <t>NE (45°)</t>
  </si>
  <si>
    <t>E (90°)</t>
  </si>
  <si>
    <t>SE (135°)</t>
  </si>
  <si>
    <t>S (180°)</t>
  </si>
  <si>
    <t>SO (225°)</t>
  </si>
  <si>
    <t>O (270°)</t>
  </si>
  <si>
    <t>NO (315°)</t>
  </si>
  <si>
    <t>Centro</t>
  </si>
  <si>
    <t>Longitud</t>
  </si>
  <si>
    <t>Latitud</t>
  </si>
  <si>
    <t>Término Medición</t>
  </si>
  <si>
    <t>Declinación Inicio [°]</t>
  </si>
  <si>
    <t>Declinación final [°]</t>
  </si>
  <si>
    <t>Error promedio [°]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</si>
  <si>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</si>
  <si>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</si>
  <si>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</si>
  <si>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</si>
  <si>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</si>
  <si>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</si>
  <si>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</si>
  <si>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</si>
  <si>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</si>
  <si>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</si>
  <si>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</si>
  <si>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</si>
  <si>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 xml:space="preserve">Mediana </t>
  </si>
  <si>
    <t>Parámetros de Diseño Asociados a Viento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</si>
</sst>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:mm:ss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11"/>
      <color theme="5"/>
      <name val="Aptos Narrow"/>
      <family val="2"/>
      <scheme val="minor"/>
    </font>
    <font>
      <b/>
      <i/>
      <sz val="9"/>
      <color theme="5" tint="-0.249977111117893"/>
      <name val="Aptos Narrow"/>
      <family val="2"/>
      <scheme val="minor"/>
    </font>
    <font>
      <b/>
      <i/>
      <sz val="11"/>
      <color theme="5" tint="-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8"/>
      <color rgb="FF000000"/>
      <name val="Aptos Display"/>
      <family val="2"/>
      <scheme val="major"/>
    </font>
    <font>
      <b/>
      <sz val="8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/>
  </cellStyleXfs>
  <cellXfs count="303">
    <xf numFmtId="0" fontId="0" fillId="0" borderId="0" xfId="0"/>
    <xf numFmtId="0" fontId="4" fillId="0" borderId="7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9" fontId="3" fillId="0" borderId="12" xfId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2" fontId="3" fillId="0" borderId="5" xfId="1" applyNumberFormat="1" applyFont="1" applyBorder="1" applyAlignment="1">
      <alignment horizontal="center" vertical="center"/>
    </xf>
    <xf numFmtId="2" fontId="3" fillId="0" borderId="7" xfId="1" applyNumberFormat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2" fontId="3" fillId="0" borderId="8" xfId="1" applyNumberFormat="1" applyFont="1" applyBorder="1" applyAlignment="1">
      <alignment horizontal="center" vertical="center"/>
    </xf>
    <xf numFmtId="2" fontId="3" fillId="0" borderId="10" xfId="1" applyNumberFormat="1" applyFont="1" applyBorder="1" applyAlignment="1">
      <alignment horizontal="center" vertical="center"/>
    </xf>
    <xf numFmtId="2" fontId="3" fillId="0" borderId="9" xfId="1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9" fontId="3" fillId="0" borderId="14" xfId="1" applyFont="1" applyBorder="1" applyAlignment="1">
      <alignment horizontal="center" vertical="center"/>
    </xf>
    <xf numFmtId="9" fontId="3" fillId="0" borderId="18" xfId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4" xfId="1" applyNumberFormat="1" applyFont="1" applyBorder="1" applyAlignment="1">
      <alignment horizontal="center" vertical="center"/>
    </xf>
    <xf numFmtId="0" fontId="3" fillId="0" borderId="36" xfId="1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64" fontId="5" fillId="0" borderId="7" xfId="1" applyNumberFormat="1" applyFont="1" applyBorder="1" applyAlignment="1">
      <alignment horizontal="center"/>
    </xf>
    <xf numFmtId="9" fontId="6" fillId="0" borderId="7" xfId="0" applyNumberFormat="1" applyFont="1" applyBorder="1" applyAlignment="1">
      <alignment horizontal="center"/>
    </xf>
    <xf numFmtId="9" fontId="4" fillId="0" borderId="34" xfId="0" applyNumberFormat="1" applyFont="1" applyBorder="1" applyAlignment="1">
      <alignment horizontal="center" vertical="center"/>
    </xf>
    <xf numFmtId="0" fontId="3" fillId="0" borderId="30" xfId="1" applyNumberFormat="1" applyFont="1" applyBorder="1" applyAlignment="1">
      <alignment horizontal="center" vertical="center"/>
    </xf>
    <xf numFmtId="0" fontId="3" fillId="0" borderId="39" xfId="1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9" fontId="3" fillId="0" borderId="8" xfId="1" applyFont="1" applyBorder="1" applyAlignment="1">
      <alignment horizontal="center" vertical="center"/>
    </xf>
    <xf numFmtId="9" fontId="3" fillId="0" borderId="10" xfId="1" applyFont="1" applyBorder="1" applyAlignment="1">
      <alignment horizontal="center" vertical="center"/>
    </xf>
    <xf numFmtId="9" fontId="3" fillId="0" borderId="9" xfId="1" applyFont="1" applyBorder="1" applyAlignment="1">
      <alignment horizontal="center" vertical="center"/>
    </xf>
    <xf numFmtId="9" fontId="0" fillId="0" borderId="0" xfId="0" applyNumberFormat="1"/>
    <xf numFmtId="0" fontId="4" fillId="0" borderId="1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43" xfId="1" applyNumberFormat="1" applyFont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0" fillId="0" borderId="7" xfId="0" applyNumberFormat="1" applyBorder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1" xfId="1" applyNumberFormat="1" applyFont="1" applyBorder="1" applyAlignment="1">
      <alignment horizontal="center" vertical="center"/>
    </xf>
    <xf numFmtId="0" fontId="3" fillId="0" borderId="13" xfId="1" applyNumberFormat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3" fillId="0" borderId="3" xfId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9" fontId="4" fillId="0" borderId="16" xfId="0" applyNumberFormat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2" fontId="3" fillId="0" borderId="3" xfId="1" applyNumberFormat="1" applyFont="1" applyBorder="1" applyAlignment="1">
      <alignment horizontal="center" vertical="center"/>
    </xf>
    <xf numFmtId="2" fontId="3" fillId="0" borderId="2" xfId="1" applyNumberFormat="1" applyFont="1" applyBorder="1" applyAlignment="1">
      <alignment horizontal="center" vertical="center"/>
    </xf>
    <xf numFmtId="9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19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8" xfId="1" applyNumberFormat="1" applyFont="1" applyBorder="1" applyAlignment="1">
      <alignment horizontal="center" vertical="center"/>
    </xf>
    <xf numFmtId="2" fontId="0" fillId="0" borderId="0" xfId="0" applyNumberFormat="1"/>
    <xf numFmtId="1" fontId="3" fillId="0" borderId="36" xfId="0" applyNumberFormat="1" applyFont="1" applyBorder="1" applyAlignment="1">
      <alignment horizontal="center" vertical="center"/>
    </xf>
    <xf numFmtId="1" fontId="3" fillId="0" borderId="49" xfId="0" applyNumberFormat="1" applyFont="1" applyBorder="1" applyAlignment="1">
      <alignment horizontal="center" vertical="center"/>
    </xf>
    <xf numFmtId="1" fontId="3" fillId="0" borderId="50" xfId="0" applyNumberFormat="1" applyFont="1" applyBorder="1" applyAlignment="1">
      <alignment horizontal="center" vertical="center"/>
    </xf>
    <xf numFmtId="9" fontId="3" fillId="0" borderId="15" xfId="1" applyFont="1" applyBorder="1" applyAlignment="1">
      <alignment horizontal="center" vertical="center"/>
    </xf>
    <xf numFmtId="9" fontId="3" fillId="0" borderId="37" xfId="1" applyFont="1" applyBorder="1" applyAlignment="1">
      <alignment horizontal="center" vertical="center"/>
    </xf>
    <xf numFmtId="9" fontId="3" fillId="0" borderId="42" xfId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2" fontId="0" fillId="0" borderId="7" xfId="0" applyNumberFormat="1" applyBorder="1"/>
    <xf numFmtId="0" fontId="9" fillId="0" borderId="7" xfId="0" applyFont="1" applyBorder="1"/>
    <xf numFmtId="0" fontId="7" fillId="0" borderId="0" xfId="0" applyFont="1" applyAlignment="1">
      <alignment horizontal="center"/>
    </xf>
    <xf numFmtId="0" fontId="8" fillId="0" borderId="0" xfId="0" applyFont="1"/>
    <xf numFmtId="0" fontId="0" fillId="0" borderId="7" xfId="0" applyBorder="1"/>
    <xf numFmtId="22" fontId="0" fillId="0" borderId="7" xfId="0" applyNumberFormat="1" applyBorder="1"/>
    <xf numFmtId="0" fontId="2" fillId="3" borderId="7" xfId="0" applyFont="1" applyFill="1" applyBorder="1" applyAlignment="1">
      <alignment horizontal="center"/>
    </xf>
    <xf numFmtId="0" fontId="12" fillId="0" borderId="7" xfId="0" applyFont="1" applyBorder="1"/>
    <xf numFmtId="0" fontId="14" fillId="0" borderId="12" xfId="0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12" fillId="0" borderId="7" xfId="0" applyNumberFormat="1" applyFont="1" applyBorder="1"/>
    <xf numFmtId="0" fontId="14" fillId="0" borderId="14" xfId="0" applyFont="1" applyBorder="1" applyAlignment="1">
      <alignment horizontal="center"/>
    </xf>
    <xf numFmtId="2" fontId="0" fillId="0" borderId="4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14" fillId="0" borderId="18" xfId="0" applyFon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1" xfId="0" applyNumberFormat="1" applyBorder="1"/>
    <xf numFmtId="2" fontId="15" fillId="0" borderId="3" xfId="0" applyNumberFormat="1" applyFont="1" applyBorder="1"/>
    <xf numFmtId="2" fontId="0" fillId="0" borderId="2" xfId="0" applyNumberFormat="1" applyBorder="1"/>
    <xf numFmtId="0" fontId="15" fillId="0" borderId="3" xfId="0" applyFont="1" applyBorder="1"/>
    <xf numFmtId="0" fontId="0" fillId="0" borderId="8" xfId="0" applyBorder="1"/>
    <xf numFmtId="0" fontId="15" fillId="0" borderId="10" xfId="0" applyFont="1" applyBorder="1"/>
    <xf numFmtId="0" fontId="0" fillId="0" borderId="9" xfId="0" applyBorder="1"/>
    <xf numFmtId="2" fontId="15" fillId="0" borderId="7" xfId="0" applyNumberFormat="1" applyFont="1" applyBorder="1"/>
    <xf numFmtId="1" fontId="0" fillId="0" borderId="8" xfId="0" applyNumberFormat="1" applyBorder="1"/>
    <xf numFmtId="2" fontId="0" fillId="0" borderId="57" xfId="0" applyNumberFormat="1" applyBorder="1"/>
    <xf numFmtId="2" fontId="15" fillId="0" borderId="24" xfId="0" applyNumberFormat="1" applyFont="1" applyBorder="1"/>
    <xf numFmtId="2" fontId="0" fillId="0" borderId="58" xfId="0" applyNumberFormat="1" applyBorder="1"/>
    <xf numFmtId="0" fontId="2" fillId="4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3" fillId="4" borderId="45" xfId="0" applyFont="1" applyFill="1" applyBorder="1" applyAlignment="1">
      <alignment horizontal="center" vertical="center" wrapText="1"/>
    </xf>
    <xf numFmtId="0" fontId="13" fillId="4" borderId="5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/>
    </xf>
    <xf numFmtId="0" fontId="2" fillId="4" borderId="55" xfId="0" applyFont="1" applyFill="1" applyBorder="1" applyAlignment="1">
      <alignment horizontal="center" vertical="center" wrapText="1"/>
    </xf>
    <xf numFmtId="0" fontId="2" fillId="4" borderId="56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/>
    </xf>
    <xf numFmtId="2" fontId="0" fillId="5" borderId="31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" fillId="4" borderId="18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/>
    </xf>
    <xf numFmtId="2" fontId="17" fillId="5" borderId="44" xfId="0" applyNumberFormat="1" applyFont="1" applyFill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0" fontId="14" fillId="5" borderId="18" xfId="0" applyFont="1" applyFill="1" applyBorder="1" applyAlignment="1">
      <alignment horizontal="center"/>
    </xf>
    <xf numFmtId="2" fontId="0" fillId="5" borderId="49" xfId="0" applyNumberForma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2" fillId="4" borderId="25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2" fillId="5" borderId="56" xfId="0" applyFont="1" applyFill="1" applyBorder="1" applyAlignment="1">
      <alignment horizontal="center" vertical="center" wrapText="1"/>
    </xf>
    <xf numFmtId="0" fontId="2" fillId="5" borderId="53" xfId="0" applyFont="1" applyFill="1" applyBorder="1" applyAlignment="1">
      <alignment horizontal="center" vertical="center" wrapText="1"/>
    </xf>
    <xf numFmtId="0" fontId="2" fillId="5" borderId="45" xfId="0" applyFont="1" applyFill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19" fillId="5" borderId="3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/>
    </xf>
    <xf numFmtId="1" fontId="3" fillId="0" borderId="15" xfId="0" applyNumberFormat="1" applyFont="1" applyBorder="1" applyAlignment="1">
      <alignment horizontal="center" vertical="center"/>
    </xf>
    <xf numFmtId="1" fontId="3" fillId="0" borderId="32" xfId="0" applyNumberFormat="1" applyFont="1" applyBorder="1" applyAlignment="1">
      <alignment horizontal="center" vertical="center"/>
    </xf>
    <xf numFmtId="1" fontId="3" fillId="0" borderId="61" xfId="0" applyNumberFormat="1" applyFont="1" applyBorder="1" applyAlignment="1">
      <alignment horizontal="center" vertical="center"/>
    </xf>
    <xf numFmtId="2" fontId="3" fillId="0" borderId="57" xfId="1" applyNumberFormat="1" applyFont="1" applyBorder="1" applyAlignment="1">
      <alignment horizontal="center" vertical="center"/>
    </xf>
    <xf numFmtId="2" fontId="3" fillId="0" borderId="24" xfId="1" applyNumberFormat="1" applyFont="1" applyBorder="1" applyAlignment="1">
      <alignment horizontal="center" vertical="center"/>
    </xf>
    <xf numFmtId="2" fontId="3" fillId="0" borderId="58" xfId="1" applyNumberFormat="1" applyFont="1" applyBorder="1" applyAlignment="1">
      <alignment horizontal="center" vertical="center"/>
    </xf>
    <xf numFmtId="0" fontId="18" fillId="0" borderId="0" xfId="0" applyFont="1"/>
    <xf numFmtId="9" fontId="4" fillId="0" borderId="41" xfId="0" applyNumberFormat="1" applyFont="1" applyBorder="1" applyAlignment="1">
      <alignment horizontal="center" vertical="center"/>
    </xf>
    <xf numFmtId="1" fontId="3" fillId="0" borderId="7" xfId="1" applyNumberFormat="1" applyFont="1" applyBorder="1" applyAlignment="1">
      <alignment horizontal="center" vertical="center"/>
    </xf>
    <xf numFmtId="9" fontId="3" fillId="0" borderId="7" xfId="1" applyFont="1" applyBorder="1" applyAlignment="1">
      <alignment horizontal="center" vertical="center"/>
    </xf>
    <xf numFmtId="9" fontId="3" fillId="0" borderId="25" xfId="1" applyFont="1" applyBorder="1" applyAlignment="1">
      <alignment horizontal="center" vertical="center"/>
    </xf>
    <xf numFmtId="9" fontId="3" fillId="0" borderId="46" xfId="1" applyFont="1" applyBorder="1" applyAlignment="1">
      <alignment horizontal="center" vertical="center"/>
    </xf>
    <xf numFmtId="0" fontId="2" fillId="5" borderId="41" xfId="0" applyFont="1" applyFill="1" applyBorder="1" applyAlignment="1">
      <alignment horizontal="center" vertical="center" wrapText="1"/>
    </xf>
    <xf numFmtId="1" fontId="20" fillId="2" borderId="1" xfId="0" applyNumberFormat="1" applyFont="1" applyFill="1" applyBorder="1" applyAlignment="1">
      <alignment horizontal="left" vertical="center"/>
    </xf>
    <xf numFmtId="0" fontId="21" fillId="0" borderId="2" xfId="0" applyFont="1" applyBorder="1"/>
    <xf numFmtId="0" fontId="22" fillId="2" borderId="5" xfId="0" applyFont="1" applyFill="1" applyBorder="1"/>
    <xf numFmtId="2" fontId="21" fillId="0" borderId="6" xfId="0" applyNumberFormat="1" applyFont="1" applyBorder="1" applyAlignment="1">
      <alignment horizontal="right"/>
    </xf>
    <xf numFmtId="1" fontId="20" fillId="2" borderId="5" xfId="0" applyNumberFormat="1" applyFont="1" applyFill="1" applyBorder="1" applyAlignment="1">
      <alignment horizontal="left" vertical="center"/>
    </xf>
    <xf numFmtId="22" fontId="23" fillId="0" borderId="6" xfId="0" applyNumberFormat="1" applyFont="1" applyBorder="1" applyAlignment="1">
      <alignment horizontal="right" vertical="center"/>
    </xf>
    <xf numFmtId="2" fontId="23" fillId="0" borderId="6" xfId="0" applyNumberFormat="1" applyFont="1" applyBorder="1" applyAlignment="1">
      <alignment horizontal="right" vertical="center"/>
    </xf>
    <xf numFmtId="22" fontId="23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center"/>
    </xf>
    <xf numFmtId="0" fontId="21" fillId="0" borderId="0" xfId="0" applyFont="1"/>
    <xf numFmtId="2" fontId="21" fillId="0" borderId="0" xfId="0" applyNumberFormat="1" applyFont="1" applyAlignment="1">
      <alignment horizontal="right"/>
    </xf>
    <xf numFmtId="2" fontId="23" fillId="0" borderId="0" xfId="0" applyNumberFormat="1" applyFont="1" applyAlignment="1">
      <alignment horizontal="right" vertical="center"/>
    </xf>
    <xf numFmtId="1" fontId="24" fillId="0" borderId="0" xfId="0" applyNumberFormat="1" applyFont="1" applyAlignment="1">
      <alignment horizontal="left" vertical="center"/>
    </xf>
    <xf numFmtId="1" fontId="25" fillId="0" borderId="0" xfId="0" applyNumberFormat="1" applyFont="1" applyAlignment="1">
      <alignment horizontal="center" vertical="center"/>
    </xf>
    <xf numFmtId="22" fontId="24" fillId="2" borderId="7" xfId="0" applyNumberFormat="1" applyFont="1" applyFill="1" applyBorder="1" applyAlignment="1">
      <alignment horizontal="center" vertical="center"/>
    </xf>
    <xf numFmtId="2" fontId="25" fillId="0" borderId="7" xfId="0" applyNumberFormat="1" applyFont="1" applyBorder="1" applyAlignment="1">
      <alignment horizontal="center" vertical="center"/>
    </xf>
    <xf numFmtId="0" fontId="26" fillId="0" borderId="7" xfId="0" applyFont="1" applyBorder="1"/>
    <xf numFmtId="2" fontId="27" fillId="0" borderId="7" xfId="0" applyNumberFormat="1" applyFont="1" applyBorder="1"/>
    <xf numFmtId="0" fontId="27" fillId="0" borderId="0" xfId="0" applyFont="1"/>
    <xf numFmtId="165" fontId="27" fillId="0" borderId="7" xfId="0" applyNumberFormat="1" applyFont="1" applyBorder="1"/>
    <xf numFmtId="22" fontId="24" fillId="0" borderId="7" xfId="0" applyNumberFormat="1" applyFont="1" applyBorder="1" applyAlignment="1">
      <alignment horizontal="center" vertical="center"/>
    </xf>
    <xf numFmtId="1" fontId="25" fillId="0" borderId="7" xfId="0" applyNumberFormat="1" applyFont="1" applyBorder="1" applyAlignment="1">
      <alignment horizontal="center" vertical="center"/>
    </xf>
    <xf numFmtId="2" fontId="25" fillId="0" borderId="7" xfId="0" quotePrefix="1" applyNumberFormat="1" applyFont="1" applyBorder="1" applyAlignment="1">
      <alignment horizontal="center" vertical="center"/>
    </xf>
    <xf numFmtId="0" fontId="22" fillId="2" borderId="8" xfId="0" applyFont="1" applyFill="1" applyBorder="1"/>
    <xf numFmtId="2" fontId="21" fillId="0" borderId="9" xfId="0" applyNumberFormat="1" applyFont="1" applyBorder="1" applyAlignment="1">
      <alignment horizontal="right"/>
    </xf>
    <xf numFmtId="22" fontId="28" fillId="2" borderId="24" xfId="0" applyNumberFormat="1" applyFont="1" applyFill="1" applyBorder="1" applyAlignment="1">
      <alignment horizontal="center" vertical="center" wrapText="1"/>
    </xf>
    <xf numFmtId="0" fontId="29" fillId="0" borderId="7" xfId="0" applyFont="1" applyBorder="1"/>
    <xf numFmtId="1" fontId="18" fillId="0" borderId="7" xfId="0" applyNumberFormat="1" applyFont="1" applyBorder="1"/>
    <xf numFmtId="22" fontId="28" fillId="2" borderId="7" xfId="0" applyNumberFormat="1" applyFont="1" applyFill="1" applyBorder="1" applyAlignment="1">
      <alignment horizontal="center" vertical="center" wrapText="1"/>
    </xf>
    <xf numFmtId="1" fontId="18" fillId="0" borderId="7" xfId="0" applyNumberFormat="1" applyFont="1" applyBorder="1" applyAlignment="1">
      <alignment horizontal="center"/>
    </xf>
    <xf numFmtId="2" fontId="18" fillId="0" borderId="7" xfId="0" applyNumberFormat="1" applyFont="1" applyBorder="1" applyAlignment="1">
      <alignment horizontal="center"/>
    </xf>
    <xf numFmtId="1" fontId="30" fillId="0" borderId="0" xfId="0" applyNumberFormat="1" applyFont="1"/>
    <xf numFmtId="2" fontId="30" fillId="0" borderId="7" xfId="0" applyNumberFormat="1" applyFont="1" applyBorder="1" applyAlignment="1">
      <alignment horizontal="center"/>
    </xf>
    <xf numFmtId="2" fontId="12" fillId="0" borderId="62" xfId="0" applyNumberFormat="1" applyFont="1" applyBorder="1" applyAlignment="1">
      <alignment horizontal="center" vertical="center"/>
    </xf>
    <xf numFmtId="2" fontId="31" fillId="0" borderId="63" xfId="0" applyNumberFormat="1" applyFont="1" applyBorder="1" applyAlignment="1">
      <alignment horizontal="center" vertical="center"/>
    </xf>
    <xf numFmtId="2" fontId="12" fillId="0" borderId="64" xfId="0" applyNumberFormat="1" applyFont="1" applyBorder="1" applyAlignment="1">
      <alignment horizontal="center" vertical="center"/>
    </xf>
    <xf numFmtId="2" fontId="12" fillId="0" borderId="65" xfId="0" applyNumberFormat="1" applyFont="1" applyBorder="1" applyAlignment="1">
      <alignment horizontal="center" vertical="center"/>
    </xf>
    <xf numFmtId="0" fontId="21" fillId="0" borderId="47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38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0" fillId="0" borderId="60" xfId="0" applyBorder="1"/>
    <xf numFmtId="0" fontId="4" fillId="0" borderId="12" xfId="0" applyFont="1" applyBorder="1" applyAlignment="1">
      <alignment horizontal="center" vertical="center" textRotation="90" wrapText="1"/>
    </xf>
    <xf numFmtId="0" fontId="18" fillId="0" borderId="33" xfId="0" applyFont="1" applyBorder="1"/>
    <xf numFmtId="0" fontId="18" fillId="0" borderId="25" xfId="0" applyFont="1" applyBorder="1"/>
    <xf numFmtId="9" fontId="4" fillId="0" borderId="41" xfId="0" applyNumberFormat="1" applyFont="1" applyBorder="1" applyAlignment="1">
      <alignment horizontal="center" vertical="center"/>
    </xf>
    <xf numFmtId="0" fontId="0" fillId="0" borderId="16" xfId="0" applyBorder="1"/>
    <xf numFmtId="0" fontId="0" fillId="0" borderId="26" xfId="0" applyBorder="1"/>
    <xf numFmtId="0" fontId="0" fillId="0" borderId="17" xfId="0" applyBorder="1"/>
    <xf numFmtId="0" fontId="0" fillId="0" borderId="38" xfId="0" applyBorder="1"/>
    <xf numFmtId="0" fontId="0" fillId="0" borderId="21" xfId="0" applyBorder="1"/>
    <xf numFmtId="0" fontId="3" fillId="0" borderId="1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4" fillId="0" borderId="1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4" fillId="0" borderId="4" xfId="0" applyFont="1" applyBorder="1" applyAlignment="1">
      <alignment horizontal="center" vertical="center" wrapText="1"/>
    </xf>
    <xf numFmtId="0" fontId="0" fillId="0" borderId="40" xfId="0" applyBorder="1"/>
    <xf numFmtId="0" fontId="4" fillId="0" borderId="35" xfId="0" applyFont="1" applyBorder="1" applyAlignment="1">
      <alignment horizontal="center" vertical="center" textRotation="90" wrapText="1"/>
    </xf>
    <xf numFmtId="0" fontId="18" fillId="0" borderId="0" xfId="0" applyFont="1"/>
    <xf numFmtId="0" fontId="18" fillId="0" borderId="20" xfId="0" applyFont="1" applyBorder="1"/>
    <xf numFmtId="9" fontId="4" fillId="0" borderId="34" xfId="0" applyNumberFormat="1" applyFont="1" applyBorder="1" applyAlignment="1">
      <alignment horizontal="center" vertical="center"/>
    </xf>
    <xf numFmtId="0" fontId="0" fillId="0" borderId="0" xfId="0"/>
    <xf numFmtId="0" fontId="0" fillId="0" borderId="20" xfId="0" applyBorder="1"/>
    <xf numFmtId="0" fontId="2" fillId="0" borderId="7" xfId="0" applyFont="1" applyBorder="1" applyAlignment="1">
      <alignment horizontal="center" vertical="center"/>
    </xf>
    <xf numFmtId="0" fontId="0" fillId="0" borderId="32" xfId="0" applyBorder="1"/>
    <xf numFmtId="0" fontId="0" fillId="0" borderId="22" xfId="0" applyBorder="1"/>
    <xf numFmtId="0" fontId="4" fillId="0" borderId="46" xfId="0" applyFont="1" applyBorder="1" applyAlignment="1">
      <alignment horizontal="center" vertical="center" textRotation="90" wrapText="1"/>
    </xf>
    <xf numFmtId="0" fontId="4" fillId="0" borderId="47" xfId="0" applyFont="1" applyBorder="1" applyAlignment="1">
      <alignment horizontal="center" vertical="center" textRotation="90" wrapText="1"/>
    </xf>
    <xf numFmtId="0" fontId="18" fillId="0" borderId="26" xfId="0" applyFont="1" applyBorder="1"/>
    <xf numFmtId="0" fontId="4" fillId="0" borderId="8" xfId="0" applyFont="1" applyBorder="1" applyAlignment="1">
      <alignment horizontal="center" vertical="center"/>
    </xf>
    <xf numFmtId="0" fontId="0" fillId="0" borderId="49" xfId="0" applyBorder="1"/>
    <xf numFmtId="0" fontId="0" fillId="0" borderId="45" xfId="0" applyBorder="1"/>
    <xf numFmtId="0" fontId="4" fillId="0" borderId="12" xfId="0" applyFont="1" applyBorder="1" applyAlignment="1">
      <alignment horizontal="center" vertical="center" wrapText="1"/>
    </xf>
    <xf numFmtId="0" fontId="0" fillId="0" borderId="33" xfId="0" applyBorder="1"/>
    <xf numFmtId="0" fontId="0" fillId="0" borderId="25" xfId="0" applyBorder="1"/>
    <xf numFmtId="0" fontId="4" fillId="0" borderId="11" xfId="0" applyFont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/>
    </xf>
    <xf numFmtId="0" fontId="2" fillId="5" borderId="39" xfId="0" applyFont="1" applyFill="1" applyBorder="1" applyAlignment="1">
      <alignment horizontal="center"/>
    </xf>
    <xf numFmtId="0" fontId="2" fillId="5" borderId="44" xfId="0" applyFont="1" applyFill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 wrapText="1"/>
    </xf>
    <xf numFmtId="0" fontId="2" fillId="5" borderId="38" xfId="0" applyFont="1" applyFill="1" applyBorder="1" applyAlignment="1">
      <alignment horizontal="center" vertical="center" wrapText="1"/>
    </xf>
    <xf numFmtId="2" fontId="0" fillId="0" borderId="5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58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0" fontId="2" fillId="5" borderId="47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37" xfId="0" applyNumberForma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12" fillId="0" borderId="57" xfId="0" applyNumberFormat="1" applyFont="1" applyBorder="1" applyAlignment="1">
      <alignment horizontal="center" vertical="center"/>
    </xf>
    <xf numFmtId="2" fontId="12" fillId="0" borderId="15" xfId="0" applyNumberFormat="1" applyFont="1" applyBorder="1" applyAlignment="1">
      <alignment horizontal="center" vertical="center"/>
    </xf>
    <xf numFmtId="2" fontId="12" fillId="0" borderId="24" xfId="0" applyNumberFormat="1" applyFont="1" applyBorder="1" applyAlignment="1">
      <alignment horizontal="center" vertical="center"/>
    </xf>
    <xf numFmtId="2" fontId="12" fillId="0" borderId="37" xfId="0" applyNumberFormat="1" applyFont="1" applyBorder="1" applyAlignment="1">
      <alignment horizontal="center" vertical="center"/>
    </xf>
    <xf numFmtId="2" fontId="12" fillId="0" borderId="58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0" borderId="29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2" fontId="15" fillId="0" borderId="8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9" xfId="0" applyNumberFormat="1" applyFont="1" applyBorder="1" applyAlignment="1">
      <alignment horizontal="center" vertical="center"/>
    </xf>
    <xf numFmtId="2" fontId="15" fillId="0" borderId="31" xfId="0" applyNumberFormat="1" applyFont="1" applyBorder="1" applyAlignment="1">
      <alignment horizontal="center" vertical="center"/>
    </xf>
    <xf numFmtId="2" fontId="15" fillId="0" borderId="49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4" borderId="54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0" fontId="2" fillId="4" borderId="54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2" fillId="4" borderId="59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4" borderId="46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2" fillId="5" borderId="54" xfId="0" applyFont="1" applyFill="1" applyBorder="1" applyAlignment="1">
      <alignment horizontal="center" vertical="center" wrapText="1"/>
    </xf>
    <xf numFmtId="0" fontId="2" fillId="5" borderId="35" xfId="0" applyFont="1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left" wrapText="1"/>
    </xf>
    <xf numFmtId="0" fontId="0" fillId="5" borderId="12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/>
    </xf>
    <xf numFmtId="0" fontId="0" fillId="0" borderId="35" xfId="0" applyBorder="1"/>
    <xf numFmtId="0" fontId="0" fillId="0" borderId="34" xfId="0" applyBorder="1"/>
    <xf numFmtId="0" fontId="2" fillId="5" borderId="41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2">
    <dxf>
      <font>
        <b/>
        <i/>
        <color theme="5"/>
      </font>
    </dxf>
    <dxf>
      <font>
        <b/>
        <i/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104775</xdr:colOff>
      <xdr:row>0</xdr:row>
      <xdr:rowOff>28575</xdr:rowOff>
    </xdr:from>
    <xdr:to>
      <xdr:col>26</xdr:col>
      <xdr:colOff>492701</xdr:colOff>
      <xdr:row>13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710520-DD36-D834-08B7-91261197E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28575"/>
          <a:ext cx="7093526" cy="30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opLeftCell="A17" workbookViewId="0">
      <selection activeCell="D7" sqref="D7"/>
    </sheetView>
  </sheetViews>
  <sheetFormatPr baseColWidth="10" defaultColWidth="9.140625" defaultRowHeight="15" x14ac:dyDescent="0.25"/>
  <cols>
    <col min="1" max="1" width="18.7109375" customWidth="1"/>
    <col min="2" max="2" width="15.7109375" customWidth="1"/>
    <col min="3" max="3" width="12.7109375" customWidth="1"/>
    <col min="4" max="5" width="20.7109375" customWidth="1"/>
    <col min="6" max="7" width="23.7109375" customWidth="1"/>
    <col min="8" max="9" width="24.7109375" customWidth="1"/>
  </cols>
  <sheetData>
    <row r="1" spans="1:9" ht="15.75" thickBot="1" x14ac:dyDescent="0.3"/>
    <row r="2" spans="1:9" ht="15.75" x14ac:dyDescent="0.25">
      <c r="A2" s="149" t="s">
        <v>123</v>
      </c>
      <c r="B2" s="150"/>
      <c r="D2" s="165" t="s">
        <v>1</v>
      </c>
      <c r="E2" s="166"/>
      <c r="F2" s="167"/>
      <c r="G2" s="167"/>
    </row>
    <row r="3" spans="1:9" ht="15.75" customHeight="1" x14ac:dyDescent="0.25">
      <c r="A3" s="151" t="s">
        <v>124</v>
      </c>
      <c r="B3" s="152"/>
      <c r="C3" s="158"/>
      <c r="D3" s="165" t="s">
        <v>2</v>
      </c>
      <c r="E3" s="168"/>
      <c r="F3" s="167"/>
      <c r="G3" s="167"/>
    </row>
    <row r="4" spans="1:9" ht="15.75" customHeight="1" x14ac:dyDescent="0.25">
      <c r="A4" s="151" t="s">
        <v>125</v>
      </c>
      <c r="B4" s="152"/>
      <c r="C4" s="159"/>
      <c r="D4" s="165" t="s">
        <v>4</v>
      </c>
      <c r="E4" s="166"/>
      <c r="F4" s="167"/>
      <c r="G4" s="167"/>
    </row>
    <row r="5" spans="1:9" ht="15.75" customHeight="1" x14ac:dyDescent="0.25">
      <c r="A5" s="153" t="s">
        <v>0</v>
      </c>
      <c r="B5" s="154"/>
      <c r="C5" s="159"/>
      <c r="D5" s="161"/>
      <c r="E5" s="162"/>
      <c r="F5" s="167"/>
      <c r="G5" s="167"/>
      <c r="H5" s="167"/>
      <c r="I5" s="167"/>
    </row>
    <row r="6" spans="1:9" ht="15.75" customHeight="1" x14ac:dyDescent="0.25">
      <c r="A6" s="153" t="s">
        <v>126</v>
      </c>
      <c r="B6" s="154"/>
      <c r="C6" s="156"/>
      <c r="D6" s="163" t="s">
        <v>5</v>
      </c>
      <c r="E6" s="163" t="s">
        <v>6</v>
      </c>
      <c r="F6" s="163" t="s">
        <v>7</v>
      </c>
      <c r="G6" s="163" t="s">
        <v>8</v>
      </c>
      <c r="H6" s="163" t="s">
        <v>9</v>
      </c>
      <c r="I6" s="163" t="s">
        <v>10</v>
      </c>
    </row>
    <row r="7" spans="1:9" ht="15.75" customHeight="1" x14ac:dyDescent="0.25">
      <c r="A7" s="153" t="s">
        <v>3</v>
      </c>
      <c r="B7" s="155">
        <f>B6-B5</f>
        <v>0</v>
      </c>
      <c r="C7" s="156"/>
      <c r="D7" s="169" t="s">
        <v>11</v>
      </c>
      <c r="E7" s="170"/>
      <c r="F7" s="170"/>
      <c r="G7" s="170"/>
      <c r="H7" s="170"/>
      <c r="I7" s="170"/>
    </row>
    <row r="8" spans="1:9" ht="15.75" customHeight="1" x14ac:dyDescent="0.25">
      <c r="A8" s="151" t="s">
        <v>127</v>
      </c>
      <c r="B8" s="152"/>
      <c r="C8" s="160"/>
      <c r="D8" s="169" t="s">
        <v>12</v>
      </c>
      <c r="E8" s="164"/>
      <c r="F8" s="164"/>
      <c r="G8" s="164"/>
      <c r="H8" s="164"/>
      <c r="I8" s="164"/>
    </row>
    <row r="9" spans="1:9" ht="15.75" customHeight="1" x14ac:dyDescent="0.25">
      <c r="A9" s="151" t="s">
        <v>128</v>
      </c>
      <c r="B9" s="152"/>
      <c r="C9" s="159"/>
      <c r="D9" s="169" t="s">
        <v>13</v>
      </c>
      <c r="E9" s="164"/>
      <c r="F9" s="164"/>
      <c r="G9" s="164"/>
      <c r="H9" s="164"/>
      <c r="I9" s="164"/>
    </row>
    <row r="10" spans="1:9" ht="15.75" customHeight="1" thickBot="1" x14ac:dyDescent="0.3">
      <c r="A10" s="172" t="s">
        <v>129</v>
      </c>
      <c r="B10" s="173"/>
      <c r="C10" s="159"/>
      <c r="D10" s="169" t="s">
        <v>14</v>
      </c>
      <c r="E10" s="164"/>
      <c r="F10" s="164"/>
      <c r="G10" s="164"/>
      <c r="H10" s="164"/>
      <c r="I10" s="164"/>
    </row>
    <row r="11" spans="1:9" ht="15.75" customHeight="1" x14ac:dyDescent="0.25">
      <c r="A11" s="186"/>
      <c r="B11" s="187"/>
      <c r="C11" s="156"/>
      <c r="D11" s="169" t="s">
        <v>15</v>
      </c>
      <c r="E11" s="164"/>
      <c r="F11" s="164"/>
      <c r="G11" s="164"/>
      <c r="H11" s="164"/>
      <c r="I11" s="164"/>
    </row>
    <row r="12" spans="1:9" ht="15.75" customHeight="1" x14ac:dyDescent="0.25">
      <c r="A12" s="188"/>
      <c r="B12" s="189"/>
      <c r="C12" s="157"/>
      <c r="D12" s="169" t="s">
        <v>16</v>
      </c>
      <c r="E12" s="164"/>
      <c r="F12" s="164"/>
      <c r="G12" s="164" t="s">
        <v>17</v>
      </c>
      <c r="H12" s="164"/>
      <c r="I12" s="164"/>
    </row>
    <row r="13" spans="1:9" ht="15.75" customHeight="1" x14ac:dyDescent="0.25">
      <c r="A13" s="188"/>
      <c r="B13" s="189"/>
      <c r="C13" s="157"/>
      <c r="D13" s="169" t="s">
        <v>18</v>
      </c>
      <c r="E13" s="164"/>
      <c r="F13" s="164"/>
      <c r="G13" s="171" t="s">
        <v>17</v>
      </c>
      <c r="H13" s="164"/>
      <c r="I13" s="164"/>
    </row>
    <row r="14" spans="1:9" ht="15.75" customHeight="1" x14ac:dyDescent="0.25">
      <c r="A14" s="188"/>
      <c r="B14" s="189"/>
      <c r="C14" s="157"/>
      <c r="D14" s="169" t="s">
        <v>19</v>
      </c>
      <c r="E14" s="164"/>
      <c r="F14" s="164"/>
      <c r="G14" s="171" t="s">
        <v>17</v>
      </c>
      <c r="H14" s="164"/>
      <c r="I14" s="164"/>
    </row>
    <row r="15" spans="1:9" ht="15.75" customHeight="1" x14ac:dyDescent="0.25">
      <c r="A15" s="188"/>
      <c r="B15" s="189"/>
      <c r="C15" s="157"/>
      <c r="D15" s="167"/>
      <c r="E15" s="167"/>
      <c r="F15" s="167"/>
      <c r="G15" s="167"/>
      <c r="H15" s="167"/>
      <c r="I15" s="167"/>
    </row>
    <row r="16" spans="1:9" ht="15.75" x14ac:dyDescent="0.25">
      <c r="A16" s="188"/>
      <c r="B16" s="189"/>
      <c r="C16" s="157"/>
      <c r="D16" s="163" t="s">
        <v>20</v>
      </c>
      <c r="E16" s="163" t="s">
        <v>21</v>
      </c>
      <c r="F16" s="163" t="s">
        <v>22</v>
      </c>
      <c r="G16" s="163" t="s">
        <v>23</v>
      </c>
      <c r="H16" s="163" t="s">
        <v>24</v>
      </c>
      <c r="I16" s="167"/>
    </row>
    <row r="17" spans="1:9" ht="15.6" customHeight="1" x14ac:dyDescent="0.25">
      <c r="A17" s="188"/>
      <c r="B17" s="189"/>
      <c r="C17" s="157"/>
      <c r="D17" s="163" t="s">
        <v>25</v>
      </c>
      <c r="E17" s="164">
        <f>$H$8</f>
        <v>0</v>
      </c>
      <c r="F17" s="164">
        <f>$H$9</f>
        <v>0</v>
      </c>
      <c r="G17" s="164">
        <f>$H$10</f>
        <v>0</v>
      </c>
      <c r="H17" s="164">
        <f>$H$11</f>
        <v>0</v>
      </c>
      <c r="I17" s="167"/>
    </row>
    <row r="18" spans="1:9" ht="15.6" customHeight="1" x14ac:dyDescent="0.25">
      <c r="A18" s="188"/>
      <c r="B18" s="189"/>
      <c r="C18" s="157"/>
      <c r="D18" s="163" t="s">
        <v>26</v>
      </c>
      <c r="E18" s="164">
        <f>$I$8</f>
        <v>0</v>
      </c>
      <c r="F18" s="164">
        <f>$I$9</f>
        <v>0</v>
      </c>
      <c r="G18" s="164">
        <f>$I$10</f>
        <v>0</v>
      </c>
      <c r="H18" s="164">
        <f>$I$11</f>
        <v>0</v>
      </c>
      <c r="I18" s="167"/>
    </row>
    <row r="19" spans="1:9" ht="15.6" customHeight="1" x14ac:dyDescent="0.25">
      <c r="A19" s="188"/>
      <c r="B19" s="189"/>
      <c r="C19" s="157"/>
    </row>
    <row r="20" spans="1:9" x14ac:dyDescent="0.25">
      <c r="A20" s="188"/>
      <c r="B20" s="189"/>
      <c r="C20" s="157"/>
    </row>
    <row r="21" spans="1:9" x14ac:dyDescent="0.25">
      <c r="A21" s="188"/>
      <c r="B21" s="189"/>
      <c r="C21" s="157"/>
    </row>
    <row r="22" spans="1:9" x14ac:dyDescent="0.25">
      <c r="A22" s="188"/>
      <c r="B22" s="189"/>
      <c r="C22" s="157"/>
    </row>
    <row r="23" spans="1:9" x14ac:dyDescent="0.25">
      <c r="A23" s="188"/>
      <c r="B23" s="189"/>
      <c r="C23" s="157"/>
    </row>
    <row r="24" spans="1:9" x14ac:dyDescent="0.25">
      <c r="A24" s="188"/>
      <c r="B24" s="189"/>
      <c r="C24" s="157"/>
      <c r="G24" t="s">
        <v>40</v>
      </c>
    </row>
    <row r="25" spans="1:9" x14ac:dyDescent="0.25">
      <c r="A25" s="188"/>
      <c r="B25" s="189"/>
      <c r="C25" s="157"/>
    </row>
    <row r="26" spans="1:9" x14ac:dyDescent="0.25">
      <c r="A26" s="188"/>
      <c r="B26" s="189"/>
      <c r="C26" s="157"/>
    </row>
    <row r="27" spans="1:9" x14ac:dyDescent="0.25">
      <c r="A27" s="188"/>
      <c r="B27" s="189"/>
      <c r="C27" s="157"/>
    </row>
    <row r="28" spans="1:9" ht="15.75" thickBot="1" x14ac:dyDescent="0.3">
      <c r="A28" s="190"/>
      <c r="B28" s="191"/>
      <c r="C28" s="157"/>
    </row>
    <row r="29" spans="1:9" x14ac:dyDescent="0.25">
      <c r="C29" s="157"/>
    </row>
  </sheetData>
  <mergeCells count="1">
    <mergeCell ref="A11:B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1"/>
  <sheetViews>
    <sheetView workbookViewId="0">
      <selection activeCell="L1" sqref="L1:L2"/>
    </sheetView>
  </sheetViews>
  <sheetFormatPr baseColWidth="10" defaultColWidth="9.140625" defaultRowHeight="15" x14ac:dyDescent="0.25"/>
  <cols>
    <col min="1" max="1" width="6.85546875" style="142" customWidth="1"/>
    <col min="2" max="2" width="15.7109375" customWidth="1"/>
    <col min="3" max="10" width="6.7109375" customWidth="1"/>
    <col min="11" max="12" width="12.7109375" customWidth="1"/>
    <col min="13" max="13" width="11.7109375" bestFit="1" customWidth="1"/>
  </cols>
  <sheetData>
    <row r="1" spans="1:15" ht="18" customHeight="1" x14ac:dyDescent="0.25">
      <c r="A1" s="203"/>
      <c r="B1" s="204"/>
      <c r="C1" s="207" t="s">
        <v>27</v>
      </c>
      <c r="D1" s="208"/>
      <c r="E1" s="208"/>
      <c r="F1" s="208"/>
      <c r="G1" s="208"/>
      <c r="H1" s="208"/>
      <c r="I1" s="208"/>
      <c r="J1" s="209"/>
      <c r="K1" s="210" t="s">
        <v>28</v>
      </c>
      <c r="L1" s="210" t="s">
        <v>29</v>
      </c>
      <c r="N1" s="218" t="s">
        <v>30</v>
      </c>
      <c r="O1" s="219"/>
    </row>
    <row r="2" spans="1:15" ht="18" customHeight="1" thickBot="1" x14ac:dyDescent="0.3">
      <c r="A2" s="205"/>
      <c r="B2" s="206"/>
      <c r="C2" s="38" t="s">
        <v>31</v>
      </c>
      <c r="D2" s="39" t="s">
        <v>32</v>
      </c>
      <c r="E2" s="39" t="s">
        <v>33</v>
      </c>
      <c r="F2" s="39" t="s">
        <v>34</v>
      </c>
      <c r="G2" s="39" t="s">
        <v>35</v>
      </c>
      <c r="H2" s="39" t="s">
        <v>36</v>
      </c>
      <c r="I2" s="39" t="s">
        <v>37</v>
      </c>
      <c r="J2" s="40" t="s">
        <v>38</v>
      </c>
      <c r="K2" s="211"/>
      <c r="L2" s="211"/>
      <c r="N2" s="220"/>
      <c r="O2" s="206"/>
    </row>
    <row r="3" spans="1:15" ht="18" customHeight="1" thickBot="1" x14ac:dyDescent="0.3">
      <c r="A3" s="212" t="s">
        <v>39</v>
      </c>
      <c r="B3" s="21"/>
      <c r="C3" s="2"/>
      <c r="D3" s="3"/>
      <c r="E3" s="3"/>
      <c r="F3" s="3"/>
      <c r="G3" s="3"/>
      <c r="H3" s="3"/>
      <c r="I3" s="3"/>
      <c r="J3" s="24"/>
      <c r="K3" s="22">
        <f t="shared" ref="K3:K10" si="0">SUM(C3:J3)</f>
        <v>0</v>
      </c>
      <c r="L3" s="4" t="e">
        <f t="shared" ref="L3:L10" si="1">SUM(C3:J3)/$K$11</f>
        <v>#DIV/0!</v>
      </c>
    </row>
    <row r="4" spans="1:15" ht="18" customHeight="1" x14ac:dyDescent="0.25">
      <c r="A4" s="213"/>
      <c r="B4" s="43"/>
      <c r="C4" s="5"/>
      <c r="D4" s="6"/>
      <c r="E4" s="6"/>
      <c r="F4" s="6"/>
      <c r="G4" s="6"/>
      <c r="H4" s="6"/>
      <c r="I4" s="6"/>
      <c r="J4" s="25"/>
      <c r="K4" s="23">
        <f t="shared" si="0"/>
        <v>0</v>
      </c>
      <c r="L4" s="19" t="e">
        <f t="shared" si="1"/>
        <v>#DIV/0!</v>
      </c>
      <c r="M4" s="37" t="e">
        <f>SUM(L3:L4)</f>
        <v>#DIV/0!</v>
      </c>
    </row>
    <row r="5" spans="1:15" ht="18" customHeight="1" x14ac:dyDescent="0.25">
      <c r="A5" s="213"/>
      <c r="B5" s="43"/>
      <c r="C5" s="5"/>
      <c r="D5" s="6"/>
      <c r="E5" s="6"/>
      <c r="F5" s="6"/>
      <c r="G5" s="6"/>
      <c r="H5" s="6"/>
      <c r="I5" s="6"/>
      <c r="J5" s="25"/>
      <c r="K5" s="23">
        <f t="shared" si="0"/>
        <v>0</v>
      </c>
      <c r="L5" s="19" t="e">
        <f t="shared" si="1"/>
        <v>#DIV/0!</v>
      </c>
      <c r="O5" t="s">
        <v>40</v>
      </c>
    </row>
    <row r="6" spans="1:15" ht="18" customHeight="1" x14ac:dyDescent="0.25">
      <c r="A6" s="213"/>
      <c r="B6" s="43"/>
      <c r="C6" s="5"/>
      <c r="D6" s="6"/>
      <c r="E6" s="6"/>
      <c r="F6" s="6"/>
      <c r="G6" s="6"/>
      <c r="H6" s="6"/>
      <c r="I6" s="6"/>
      <c r="J6" s="25"/>
      <c r="K6" s="23">
        <f t="shared" si="0"/>
        <v>0</v>
      </c>
      <c r="L6" s="19" t="e">
        <f t="shared" si="1"/>
        <v>#DIV/0!</v>
      </c>
      <c r="M6" s="37" t="e">
        <f>SUM(L6:L10)</f>
        <v>#DIV/0!</v>
      </c>
    </row>
    <row r="7" spans="1:15" ht="18" customHeight="1" x14ac:dyDescent="0.25">
      <c r="A7" s="213"/>
      <c r="B7" s="43"/>
      <c r="C7" s="5"/>
      <c r="D7" s="6"/>
      <c r="E7" s="6"/>
      <c r="F7" s="6"/>
      <c r="G7" s="6"/>
      <c r="H7" s="6"/>
      <c r="I7" s="6"/>
      <c r="J7" s="25"/>
      <c r="K7" s="23">
        <f t="shared" si="0"/>
        <v>0</v>
      </c>
      <c r="L7" s="19" t="e">
        <f t="shared" si="1"/>
        <v>#DIV/0!</v>
      </c>
    </row>
    <row r="8" spans="1:15" ht="18" customHeight="1" x14ac:dyDescent="0.25">
      <c r="A8" s="213"/>
      <c r="B8" s="43"/>
      <c r="C8" s="5"/>
      <c r="D8" s="6"/>
      <c r="E8" s="6"/>
      <c r="F8" s="6"/>
      <c r="G8" s="6"/>
      <c r="H8" s="6"/>
      <c r="I8" s="6"/>
      <c r="J8" s="25"/>
      <c r="K8" s="23">
        <f t="shared" si="0"/>
        <v>0</v>
      </c>
      <c r="L8" s="19" t="e">
        <f t="shared" si="1"/>
        <v>#DIV/0!</v>
      </c>
    </row>
    <row r="9" spans="1:15" ht="18" customHeight="1" x14ac:dyDescent="0.25">
      <c r="A9" s="213"/>
      <c r="B9" s="43"/>
      <c r="C9" s="5"/>
      <c r="D9" s="42"/>
      <c r="E9" s="42"/>
      <c r="F9" s="42"/>
      <c r="G9" s="42"/>
      <c r="H9" s="42"/>
      <c r="I9" s="42"/>
      <c r="J9" s="67"/>
      <c r="K9" s="23">
        <f t="shared" si="0"/>
        <v>0</v>
      </c>
      <c r="L9" s="19" t="e">
        <f t="shared" si="1"/>
        <v>#DIV/0!</v>
      </c>
    </row>
    <row r="10" spans="1:15" ht="18" customHeight="1" thickBot="1" x14ac:dyDescent="0.3">
      <c r="A10" s="214"/>
      <c r="B10" s="44"/>
      <c r="C10" s="45"/>
      <c r="D10" s="68"/>
      <c r="E10" s="68"/>
      <c r="F10" s="68"/>
      <c r="G10" s="68"/>
      <c r="H10" s="68"/>
      <c r="I10" s="68"/>
      <c r="J10" s="69"/>
      <c r="K10" s="23">
        <f t="shared" si="0"/>
        <v>0</v>
      </c>
      <c r="L10" s="20" t="e">
        <f t="shared" si="1"/>
        <v>#DIV/0!</v>
      </c>
    </row>
    <row r="11" spans="1:15" ht="18" customHeight="1" thickBot="1" x14ac:dyDescent="0.3">
      <c r="A11" s="207" t="s">
        <v>28</v>
      </c>
      <c r="B11" s="209"/>
      <c r="C11" s="18">
        <f t="shared" ref="C11:L11" si="2">SUM(C3:C10)</f>
        <v>0</v>
      </c>
      <c r="D11" s="32">
        <f t="shared" si="2"/>
        <v>0</v>
      </c>
      <c r="E11" s="32">
        <f t="shared" si="2"/>
        <v>0</v>
      </c>
      <c r="F11" s="32">
        <f t="shared" si="2"/>
        <v>0</v>
      </c>
      <c r="G11" s="32">
        <f t="shared" si="2"/>
        <v>0</v>
      </c>
      <c r="H11" s="32">
        <f t="shared" si="2"/>
        <v>0</v>
      </c>
      <c r="I11" s="32">
        <f t="shared" si="2"/>
        <v>0</v>
      </c>
      <c r="J11" s="33">
        <f t="shared" si="2"/>
        <v>0</v>
      </c>
      <c r="K11" s="31">
        <f t="shared" si="2"/>
        <v>0</v>
      </c>
      <c r="L11" s="17" t="e">
        <f t="shared" si="2"/>
        <v>#DIV/0!</v>
      </c>
    </row>
    <row r="12" spans="1:15" ht="18" customHeight="1" thickBot="1" x14ac:dyDescent="0.3">
      <c r="A12" s="192" t="s">
        <v>29</v>
      </c>
      <c r="B12" s="219"/>
      <c r="C12" s="70" t="e">
        <f t="shared" ref="C12:J12" si="3">C11/$K$11</f>
        <v>#DIV/0!</v>
      </c>
      <c r="D12" s="71" t="e">
        <f t="shared" si="3"/>
        <v>#DIV/0!</v>
      </c>
      <c r="E12" s="71" t="e">
        <f t="shared" si="3"/>
        <v>#DIV/0!</v>
      </c>
      <c r="F12" s="71" t="e">
        <f t="shared" si="3"/>
        <v>#DIV/0!</v>
      </c>
      <c r="G12" s="71" t="e">
        <f t="shared" si="3"/>
        <v>#DIV/0!</v>
      </c>
      <c r="H12" s="71" t="e">
        <f t="shared" si="3"/>
        <v>#DIV/0!</v>
      </c>
      <c r="I12" s="71" t="e">
        <f t="shared" si="3"/>
        <v>#DIV/0!</v>
      </c>
      <c r="J12" s="72" t="e">
        <f t="shared" si="3"/>
        <v>#DIV/0!</v>
      </c>
      <c r="K12" s="28" t="e">
        <f>SUM(C12:J12)</f>
        <v>#DIV/0!</v>
      </c>
      <c r="L12" s="7"/>
    </row>
    <row r="13" spans="1:15" ht="18" customHeight="1" thickBot="1" x14ac:dyDescent="0.3">
      <c r="A13" s="194" t="s">
        <v>41</v>
      </c>
      <c r="B13" s="8" t="s">
        <v>42</v>
      </c>
      <c r="C13" s="57"/>
      <c r="D13" s="58"/>
      <c r="E13" s="58"/>
      <c r="F13" s="58"/>
      <c r="G13" s="58"/>
      <c r="H13" s="58"/>
      <c r="I13" s="58"/>
      <c r="J13" s="59"/>
      <c r="K13" s="215"/>
      <c r="L13" s="198"/>
    </row>
    <row r="14" spans="1:15" ht="18" customHeight="1" x14ac:dyDescent="0.25">
      <c r="A14" s="195"/>
      <c r="B14" s="9" t="s">
        <v>14</v>
      </c>
      <c r="C14" s="10"/>
      <c r="D14" s="11"/>
      <c r="E14" s="11"/>
      <c r="F14" s="11"/>
      <c r="G14" s="11"/>
      <c r="H14" s="11"/>
      <c r="I14" s="11"/>
      <c r="J14" s="12"/>
      <c r="K14" s="216"/>
      <c r="L14" s="200"/>
    </row>
    <row r="15" spans="1:15" ht="18" customHeight="1" thickBot="1" x14ac:dyDescent="0.3">
      <c r="A15" s="196"/>
      <c r="B15" s="13" t="s">
        <v>43</v>
      </c>
      <c r="C15" s="14"/>
      <c r="D15" s="15"/>
      <c r="E15" s="15"/>
      <c r="F15" s="15"/>
      <c r="G15" s="15"/>
      <c r="H15" s="15"/>
      <c r="I15" s="15"/>
      <c r="J15" s="16"/>
      <c r="K15" s="217"/>
      <c r="L15" s="202"/>
    </row>
    <row r="16" spans="1:15" ht="18" customHeight="1" thickBot="1" x14ac:dyDescent="0.3"/>
    <row r="17" spans="1:17" ht="18" customHeight="1" x14ac:dyDescent="0.25">
      <c r="A17" s="203"/>
      <c r="B17" s="204"/>
      <c r="C17" s="207" t="s">
        <v>27</v>
      </c>
      <c r="D17" s="208"/>
      <c r="E17" s="208"/>
      <c r="F17" s="208"/>
      <c r="G17" s="208"/>
      <c r="H17" s="208"/>
      <c r="I17" s="208"/>
      <c r="J17" s="209"/>
      <c r="K17" s="210" t="s">
        <v>28</v>
      </c>
      <c r="L17" s="210" t="s">
        <v>29</v>
      </c>
      <c r="N17" s="218" t="s">
        <v>44</v>
      </c>
      <c r="O17" s="219"/>
    </row>
    <row r="18" spans="1:17" ht="18" customHeight="1" thickBot="1" x14ac:dyDescent="0.3">
      <c r="A18" s="205"/>
      <c r="B18" s="206"/>
      <c r="C18" s="38" t="s">
        <v>31</v>
      </c>
      <c r="D18" s="39" t="s">
        <v>32</v>
      </c>
      <c r="E18" s="39" t="s">
        <v>33</v>
      </c>
      <c r="F18" s="39" t="s">
        <v>34</v>
      </c>
      <c r="G18" s="39" t="s">
        <v>35</v>
      </c>
      <c r="H18" s="39" t="s">
        <v>36</v>
      </c>
      <c r="I18" s="39" t="s">
        <v>37</v>
      </c>
      <c r="J18" s="40" t="s">
        <v>38</v>
      </c>
      <c r="K18" s="211"/>
      <c r="L18" s="211"/>
      <c r="N18" s="220"/>
      <c r="O18" s="206"/>
    </row>
    <row r="19" spans="1:17" ht="18" customHeight="1" thickBot="1" x14ac:dyDescent="0.3">
      <c r="A19" s="212" t="s">
        <v>39</v>
      </c>
      <c r="B19" s="21"/>
      <c r="C19" s="2"/>
      <c r="D19" s="3"/>
      <c r="E19" s="3"/>
      <c r="F19" s="3"/>
      <c r="G19" s="3"/>
      <c r="H19" s="3"/>
      <c r="I19" s="3"/>
      <c r="J19" s="24"/>
      <c r="K19" s="29">
        <f t="shared" ref="K19:K26" si="4">SUM(C19:J19)</f>
        <v>0</v>
      </c>
      <c r="L19" s="4" t="e">
        <f t="shared" ref="L19:L26" si="5">SUM(C19:J19)/$K$27</f>
        <v>#DIV/0!</v>
      </c>
    </row>
    <row r="20" spans="1:17" ht="18" customHeight="1" x14ac:dyDescent="0.25">
      <c r="A20" s="213"/>
      <c r="B20" s="43"/>
      <c r="C20" s="5"/>
      <c r="D20" s="6"/>
      <c r="E20" s="6"/>
      <c r="F20" s="6"/>
      <c r="G20" s="6"/>
      <c r="H20" s="6"/>
      <c r="I20" s="6"/>
      <c r="J20" s="25"/>
      <c r="K20" s="30">
        <f t="shared" si="4"/>
        <v>0</v>
      </c>
      <c r="L20" s="19" t="e">
        <f t="shared" si="5"/>
        <v>#DIV/0!</v>
      </c>
    </row>
    <row r="21" spans="1:17" ht="18" customHeight="1" x14ac:dyDescent="0.25">
      <c r="A21" s="213"/>
      <c r="B21" s="43"/>
      <c r="C21" s="5"/>
      <c r="D21" s="6"/>
      <c r="E21" s="6"/>
      <c r="F21" s="6"/>
      <c r="G21" s="6"/>
      <c r="H21" s="6"/>
      <c r="I21" s="6"/>
      <c r="J21" s="25"/>
      <c r="K21" s="30">
        <f t="shared" si="4"/>
        <v>0</v>
      </c>
      <c r="L21" s="19" t="e">
        <f t="shared" si="5"/>
        <v>#DIV/0!</v>
      </c>
    </row>
    <row r="22" spans="1:17" ht="18" customHeight="1" x14ac:dyDescent="0.25">
      <c r="A22" s="213"/>
      <c r="B22" s="43"/>
      <c r="C22" s="5"/>
      <c r="D22" s="6"/>
      <c r="E22" s="6"/>
      <c r="F22" s="6"/>
      <c r="G22" s="6"/>
      <c r="H22" s="6"/>
      <c r="I22" s="6"/>
      <c r="J22" s="25"/>
      <c r="K22" s="30">
        <f t="shared" si="4"/>
        <v>0</v>
      </c>
      <c r="L22" s="19" t="e">
        <f t="shared" si="5"/>
        <v>#DIV/0!</v>
      </c>
      <c r="Q22" t="s">
        <v>40</v>
      </c>
    </row>
    <row r="23" spans="1:17" ht="18" customHeight="1" x14ac:dyDescent="0.25">
      <c r="A23" s="213"/>
      <c r="B23" s="43"/>
      <c r="C23" s="5"/>
      <c r="D23" s="6"/>
      <c r="E23" s="6"/>
      <c r="F23" s="6"/>
      <c r="G23" s="6"/>
      <c r="H23" s="6"/>
      <c r="I23" s="6"/>
      <c r="J23" s="25"/>
      <c r="K23" s="30">
        <f t="shared" si="4"/>
        <v>0</v>
      </c>
      <c r="L23" s="19" t="e">
        <f t="shared" si="5"/>
        <v>#DIV/0!</v>
      </c>
    </row>
    <row r="24" spans="1:17" ht="18" customHeight="1" x14ac:dyDescent="0.25">
      <c r="A24" s="213"/>
      <c r="B24" s="43"/>
      <c r="C24" s="5"/>
      <c r="D24" s="6"/>
      <c r="E24" s="6"/>
      <c r="F24" s="6"/>
      <c r="G24" s="6"/>
      <c r="H24" s="6"/>
      <c r="I24" s="6"/>
      <c r="J24" s="25"/>
      <c r="K24" s="30">
        <f t="shared" si="4"/>
        <v>0</v>
      </c>
      <c r="L24" s="19" t="e">
        <f t="shared" si="5"/>
        <v>#DIV/0!</v>
      </c>
    </row>
    <row r="25" spans="1:17" ht="18" customHeight="1" x14ac:dyDescent="0.25">
      <c r="A25" s="213"/>
      <c r="B25" s="43"/>
      <c r="C25" s="5"/>
      <c r="D25" s="42"/>
      <c r="E25" s="42"/>
      <c r="F25" s="42"/>
      <c r="G25" s="42"/>
      <c r="H25" s="42"/>
      <c r="I25" s="42"/>
      <c r="J25" s="67"/>
      <c r="K25" s="30">
        <f t="shared" si="4"/>
        <v>0</v>
      </c>
      <c r="L25" s="19" t="e">
        <f t="shared" si="5"/>
        <v>#DIV/0!</v>
      </c>
    </row>
    <row r="26" spans="1:17" ht="18" customHeight="1" thickBot="1" x14ac:dyDescent="0.3">
      <c r="A26" s="214"/>
      <c r="B26" s="44"/>
      <c r="C26" s="136"/>
      <c r="D26" s="137"/>
      <c r="E26" s="137"/>
      <c r="F26" s="137"/>
      <c r="G26" s="137"/>
      <c r="H26" s="137"/>
      <c r="I26" s="137"/>
      <c r="J26" s="138"/>
      <c r="K26" s="41">
        <f t="shared" si="4"/>
        <v>0</v>
      </c>
      <c r="L26" s="20" t="e">
        <f t="shared" si="5"/>
        <v>#DIV/0!</v>
      </c>
    </row>
    <row r="27" spans="1:17" ht="18" customHeight="1" thickBot="1" x14ac:dyDescent="0.3">
      <c r="A27" s="207" t="s">
        <v>28</v>
      </c>
      <c r="B27" s="208"/>
      <c r="C27" s="18">
        <f t="shared" ref="C27:J27" si="6">SUM(C19:C26)</f>
        <v>0</v>
      </c>
      <c r="D27" s="32">
        <f t="shared" si="6"/>
        <v>0</v>
      </c>
      <c r="E27" s="32">
        <f t="shared" si="6"/>
        <v>0</v>
      </c>
      <c r="F27" s="32">
        <f t="shared" si="6"/>
        <v>0</v>
      </c>
      <c r="G27" s="32">
        <f t="shared" si="6"/>
        <v>0</v>
      </c>
      <c r="H27" s="32">
        <f t="shared" si="6"/>
        <v>0</v>
      </c>
      <c r="I27" s="32">
        <f t="shared" si="6"/>
        <v>0</v>
      </c>
      <c r="J27" s="33">
        <f t="shared" si="6"/>
        <v>0</v>
      </c>
      <c r="K27" s="31">
        <f t="shared" ref="K27:L27" si="7">SUM(K19:K26)</f>
        <v>0</v>
      </c>
      <c r="L27" s="17" t="e">
        <f t="shared" si="7"/>
        <v>#DIV/0!</v>
      </c>
    </row>
    <row r="28" spans="1:17" ht="18" customHeight="1" thickBot="1" x14ac:dyDescent="0.3">
      <c r="A28" s="192" t="s">
        <v>29</v>
      </c>
      <c r="B28" s="193"/>
      <c r="C28" s="34" t="e">
        <f>C27/$K$27</f>
        <v>#DIV/0!</v>
      </c>
      <c r="D28" s="35" t="e">
        <f t="shared" ref="D28:J28" si="8">D27/$K$27</f>
        <v>#DIV/0!</v>
      </c>
      <c r="E28" s="35" t="e">
        <f t="shared" si="8"/>
        <v>#DIV/0!</v>
      </c>
      <c r="F28" s="35" t="e">
        <f t="shared" si="8"/>
        <v>#DIV/0!</v>
      </c>
      <c r="G28" s="35" t="e">
        <f t="shared" si="8"/>
        <v>#DIV/0!</v>
      </c>
      <c r="H28" s="35" t="e">
        <f t="shared" si="8"/>
        <v>#DIV/0!</v>
      </c>
      <c r="I28" s="35" t="e">
        <f t="shared" si="8"/>
        <v>#DIV/0!</v>
      </c>
      <c r="J28" s="36" t="e">
        <f t="shared" si="8"/>
        <v>#DIV/0!</v>
      </c>
      <c r="K28" s="28" t="e">
        <f>SUM(C28:J28)</f>
        <v>#DIV/0!</v>
      </c>
      <c r="L28" s="7"/>
    </row>
    <row r="29" spans="1:17" ht="18" customHeight="1" thickBot="1" x14ac:dyDescent="0.3">
      <c r="A29" s="194" t="s">
        <v>41</v>
      </c>
      <c r="B29" s="8" t="s">
        <v>42</v>
      </c>
      <c r="C29" s="139"/>
      <c r="D29" s="140"/>
      <c r="E29" s="140"/>
      <c r="F29" s="140"/>
      <c r="G29" s="140"/>
      <c r="H29" s="140"/>
      <c r="I29" s="140"/>
      <c r="J29" s="141"/>
      <c r="K29" s="215"/>
      <c r="L29" s="198"/>
    </row>
    <row r="30" spans="1:17" ht="18" customHeight="1" x14ac:dyDescent="0.25">
      <c r="A30" s="195"/>
      <c r="B30" s="9" t="s">
        <v>14</v>
      </c>
      <c r="C30" s="10"/>
      <c r="D30" s="11"/>
      <c r="E30" s="11"/>
      <c r="F30" s="11"/>
      <c r="G30" s="11"/>
      <c r="H30" s="11"/>
      <c r="I30" s="11"/>
      <c r="J30" s="12"/>
      <c r="K30" s="216"/>
      <c r="L30" s="200"/>
    </row>
    <row r="31" spans="1:17" ht="18" customHeight="1" thickBot="1" x14ac:dyDescent="0.3">
      <c r="A31" s="196"/>
      <c r="B31" s="13" t="s">
        <v>43</v>
      </c>
      <c r="C31" s="14"/>
      <c r="D31" s="15"/>
      <c r="E31" s="15"/>
      <c r="F31" s="15"/>
      <c r="G31" s="15"/>
      <c r="H31" s="15"/>
      <c r="I31" s="15"/>
      <c r="J31" s="16"/>
      <c r="K31" s="217"/>
      <c r="L31" s="202"/>
    </row>
    <row r="32" spans="1:17" ht="18" customHeight="1" thickBot="1" x14ac:dyDescent="0.3"/>
    <row r="33" spans="1:15" ht="18" customHeight="1" x14ac:dyDescent="0.25">
      <c r="A33" s="203"/>
      <c r="B33" s="204"/>
      <c r="C33" s="207" t="s">
        <v>27</v>
      </c>
      <c r="D33" s="208"/>
      <c r="E33" s="208"/>
      <c r="F33" s="208"/>
      <c r="G33" s="208"/>
      <c r="H33" s="208"/>
      <c r="I33" s="208"/>
      <c r="J33" s="209"/>
      <c r="K33" s="210" t="s">
        <v>28</v>
      </c>
      <c r="L33" s="210" t="s">
        <v>29</v>
      </c>
      <c r="N33" s="218" t="s">
        <v>45</v>
      </c>
      <c r="O33" s="219"/>
    </row>
    <row r="34" spans="1:15" ht="18" customHeight="1" thickBot="1" x14ac:dyDescent="0.3">
      <c r="A34" s="205"/>
      <c r="B34" s="206"/>
      <c r="C34" s="38" t="s">
        <v>31</v>
      </c>
      <c r="D34" s="39" t="s">
        <v>32</v>
      </c>
      <c r="E34" s="39" t="s">
        <v>33</v>
      </c>
      <c r="F34" s="39" t="s">
        <v>34</v>
      </c>
      <c r="G34" s="39" t="s">
        <v>35</v>
      </c>
      <c r="H34" s="39" t="s">
        <v>36</v>
      </c>
      <c r="I34" s="39" t="s">
        <v>37</v>
      </c>
      <c r="J34" s="40" t="s">
        <v>38</v>
      </c>
      <c r="K34" s="211"/>
      <c r="L34" s="211"/>
      <c r="N34" s="220"/>
      <c r="O34" s="206"/>
    </row>
    <row r="35" spans="1:15" ht="18" customHeight="1" thickBot="1" x14ac:dyDescent="0.3">
      <c r="A35" s="212" t="s">
        <v>39</v>
      </c>
      <c r="B35" s="21"/>
      <c r="C35" s="2"/>
      <c r="D35" s="3"/>
      <c r="E35" s="3"/>
      <c r="F35" s="3"/>
      <c r="G35" s="3"/>
      <c r="H35" s="3"/>
      <c r="I35" s="3"/>
      <c r="J35" s="24"/>
      <c r="K35" s="29">
        <f t="shared" ref="K35:K42" si="9">SUM(C35:J35)</f>
        <v>0</v>
      </c>
      <c r="L35" s="4" t="e">
        <f t="shared" ref="L35:L42" si="10">SUM(C35:J35)/$K$43</f>
        <v>#DIV/0!</v>
      </c>
    </row>
    <row r="36" spans="1:15" ht="18" customHeight="1" x14ac:dyDescent="0.25">
      <c r="A36" s="213"/>
      <c r="B36" s="43"/>
      <c r="C36" s="5"/>
      <c r="D36" s="6"/>
      <c r="E36" s="6"/>
      <c r="F36" s="6"/>
      <c r="G36" s="6"/>
      <c r="H36" s="6"/>
      <c r="I36" s="6"/>
      <c r="J36" s="25"/>
      <c r="K36" s="30">
        <f t="shared" si="9"/>
        <v>0</v>
      </c>
      <c r="L36" s="19" t="e">
        <f t="shared" si="10"/>
        <v>#DIV/0!</v>
      </c>
    </row>
    <row r="37" spans="1:15" ht="18" customHeight="1" x14ac:dyDescent="0.25">
      <c r="A37" s="213"/>
      <c r="B37" s="43"/>
      <c r="C37" s="5"/>
      <c r="D37" s="6"/>
      <c r="E37" s="6"/>
      <c r="F37" s="6"/>
      <c r="G37" s="6"/>
      <c r="H37" s="6"/>
      <c r="I37" s="6"/>
      <c r="J37" s="25"/>
      <c r="K37" s="30">
        <f t="shared" si="9"/>
        <v>0</v>
      </c>
      <c r="L37" s="19" t="e">
        <f t="shared" si="10"/>
        <v>#DIV/0!</v>
      </c>
    </row>
    <row r="38" spans="1:15" ht="18" customHeight="1" x14ac:dyDescent="0.25">
      <c r="A38" s="213"/>
      <c r="B38" s="43"/>
      <c r="C38" s="5"/>
      <c r="D38" s="6"/>
      <c r="E38" s="6"/>
      <c r="F38" s="6"/>
      <c r="G38" s="6"/>
      <c r="H38" s="6"/>
      <c r="I38" s="6"/>
      <c r="J38" s="25"/>
      <c r="K38" s="30">
        <f t="shared" si="9"/>
        <v>0</v>
      </c>
      <c r="L38" s="19" t="e">
        <f t="shared" si="10"/>
        <v>#DIV/0!</v>
      </c>
    </row>
    <row r="39" spans="1:15" ht="18" customHeight="1" x14ac:dyDescent="0.25">
      <c r="A39" s="213"/>
      <c r="B39" s="43"/>
      <c r="C39" s="5"/>
      <c r="D39" s="6"/>
      <c r="E39" s="6"/>
      <c r="F39" s="6"/>
      <c r="G39" s="6"/>
      <c r="H39" s="6"/>
      <c r="I39" s="6"/>
      <c r="J39" s="25"/>
      <c r="K39" s="30">
        <f t="shared" si="9"/>
        <v>0</v>
      </c>
      <c r="L39" s="19" t="e">
        <f t="shared" si="10"/>
        <v>#DIV/0!</v>
      </c>
    </row>
    <row r="40" spans="1:15" ht="18" customHeight="1" x14ac:dyDescent="0.25">
      <c r="A40" s="213"/>
      <c r="B40" s="43"/>
      <c r="C40" s="5"/>
      <c r="D40" s="6"/>
      <c r="E40" s="6"/>
      <c r="F40" s="6"/>
      <c r="G40" s="6"/>
      <c r="H40" s="6"/>
      <c r="I40" s="6"/>
      <c r="J40" s="25"/>
      <c r="K40" s="30">
        <f t="shared" si="9"/>
        <v>0</v>
      </c>
      <c r="L40" s="19" t="e">
        <f t="shared" si="10"/>
        <v>#DIV/0!</v>
      </c>
    </row>
    <row r="41" spans="1:15" ht="18" customHeight="1" x14ac:dyDescent="0.25">
      <c r="A41" s="213"/>
      <c r="B41" s="43"/>
      <c r="C41" s="5"/>
      <c r="D41" s="42"/>
      <c r="E41" s="42"/>
      <c r="F41" s="42"/>
      <c r="G41" s="42"/>
      <c r="H41" s="42"/>
      <c r="I41" s="42"/>
      <c r="J41" s="67"/>
      <c r="K41" s="30">
        <f t="shared" si="9"/>
        <v>0</v>
      </c>
      <c r="L41" s="19" t="e">
        <f t="shared" si="10"/>
        <v>#DIV/0!</v>
      </c>
    </row>
    <row r="42" spans="1:15" ht="18" customHeight="1" thickBot="1" x14ac:dyDescent="0.3">
      <c r="A42" s="214"/>
      <c r="B42" s="44"/>
      <c r="C42" s="136"/>
      <c r="D42" s="137"/>
      <c r="E42" s="137"/>
      <c r="F42" s="137"/>
      <c r="G42" s="137"/>
      <c r="H42" s="137"/>
      <c r="I42" s="137"/>
      <c r="J42" s="138"/>
      <c r="K42" s="30">
        <f t="shared" si="9"/>
        <v>0</v>
      </c>
      <c r="L42" s="20" t="e">
        <f t="shared" si="10"/>
        <v>#DIV/0!</v>
      </c>
    </row>
    <row r="43" spans="1:15" ht="18" customHeight="1" thickBot="1" x14ac:dyDescent="0.3">
      <c r="A43" s="207" t="s">
        <v>28</v>
      </c>
      <c r="B43" s="208"/>
      <c r="C43" s="18">
        <f t="shared" ref="C43:J43" si="11">SUM(C35:C42)</f>
        <v>0</v>
      </c>
      <c r="D43" s="32">
        <f t="shared" si="11"/>
        <v>0</v>
      </c>
      <c r="E43" s="32">
        <f t="shared" si="11"/>
        <v>0</v>
      </c>
      <c r="F43" s="32">
        <f t="shared" si="11"/>
        <v>0</v>
      </c>
      <c r="G43" s="32">
        <f t="shared" si="11"/>
        <v>0</v>
      </c>
      <c r="H43" s="32">
        <f t="shared" si="11"/>
        <v>0</v>
      </c>
      <c r="I43" s="32">
        <f t="shared" si="11"/>
        <v>0</v>
      </c>
      <c r="J43" s="33">
        <f t="shared" si="11"/>
        <v>0</v>
      </c>
      <c r="K43" s="31">
        <f t="shared" ref="K43:L43" si="12">SUM(K35:K42)</f>
        <v>0</v>
      </c>
      <c r="L43" s="17" t="e">
        <f t="shared" si="12"/>
        <v>#DIV/0!</v>
      </c>
    </row>
    <row r="44" spans="1:15" ht="18" customHeight="1" thickBot="1" x14ac:dyDescent="0.3">
      <c r="A44" s="192" t="s">
        <v>29</v>
      </c>
      <c r="B44" s="193"/>
      <c r="C44" s="34" t="e">
        <f>C43/$K$43</f>
        <v>#DIV/0!</v>
      </c>
      <c r="D44" s="35" t="e">
        <f t="shared" ref="D44:J44" si="13">D43/$K$43</f>
        <v>#DIV/0!</v>
      </c>
      <c r="E44" s="35" t="e">
        <f t="shared" si="13"/>
        <v>#DIV/0!</v>
      </c>
      <c r="F44" s="35" t="e">
        <f t="shared" si="13"/>
        <v>#DIV/0!</v>
      </c>
      <c r="G44" s="35" t="e">
        <f t="shared" si="13"/>
        <v>#DIV/0!</v>
      </c>
      <c r="H44" s="35" t="e">
        <f t="shared" si="13"/>
        <v>#DIV/0!</v>
      </c>
      <c r="I44" s="35" t="e">
        <f t="shared" si="13"/>
        <v>#DIV/0!</v>
      </c>
      <c r="J44" s="36" t="e">
        <f t="shared" si="13"/>
        <v>#DIV/0!</v>
      </c>
      <c r="K44" s="28" t="e">
        <f>SUM(C44:J44)</f>
        <v>#DIV/0!</v>
      </c>
      <c r="L44" s="7"/>
    </row>
    <row r="45" spans="1:15" ht="18" customHeight="1" thickBot="1" x14ac:dyDescent="0.3">
      <c r="A45" s="194" t="s">
        <v>41</v>
      </c>
      <c r="B45" s="8" t="s">
        <v>42</v>
      </c>
      <c r="C45" s="139"/>
      <c r="D45" s="140"/>
      <c r="E45" s="140"/>
      <c r="F45" s="140"/>
      <c r="G45" s="140"/>
      <c r="H45" s="140"/>
      <c r="I45" s="140"/>
      <c r="J45" s="141"/>
      <c r="K45" s="215"/>
      <c r="L45" s="198"/>
    </row>
    <row r="46" spans="1:15" ht="18" customHeight="1" x14ac:dyDescent="0.25">
      <c r="A46" s="195"/>
      <c r="B46" s="9" t="s">
        <v>14</v>
      </c>
      <c r="C46" s="10"/>
      <c r="D46" s="11"/>
      <c r="E46" s="11"/>
      <c r="F46" s="11"/>
      <c r="G46" s="11"/>
      <c r="H46" s="11"/>
      <c r="I46" s="11"/>
      <c r="J46" s="12"/>
      <c r="K46" s="216"/>
      <c r="L46" s="200"/>
    </row>
    <row r="47" spans="1:15" ht="18" customHeight="1" thickBot="1" x14ac:dyDescent="0.3">
      <c r="A47" s="196"/>
      <c r="B47" s="13" t="s">
        <v>43</v>
      </c>
      <c r="C47" s="14"/>
      <c r="D47" s="15"/>
      <c r="E47" s="15"/>
      <c r="F47" s="15"/>
      <c r="G47" s="15"/>
      <c r="H47" s="15"/>
      <c r="I47" s="15"/>
      <c r="J47" s="16"/>
      <c r="K47" s="217"/>
      <c r="L47" s="202"/>
    </row>
    <row r="48" spans="1:15" ht="18" customHeight="1" thickBot="1" x14ac:dyDescent="0.3"/>
    <row r="49" spans="1:15" ht="18" customHeight="1" x14ac:dyDescent="0.25">
      <c r="A49" s="203"/>
      <c r="B49" s="204"/>
      <c r="C49" s="207" t="s">
        <v>27</v>
      </c>
      <c r="D49" s="208"/>
      <c r="E49" s="208"/>
      <c r="F49" s="208"/>
      <c r="G49" s="208"/>
      <c r="H49" s="208"/>
      <c r="I49" s="208"/>
      <c r="J49" s="209"/>
      <c r="K49" s="210" t="s">
        <v>28</v>
      </c>
      <c r="L49" s="210" t="s">
        <v>29</v>
      </c>
      <c r="N49" s="218" t="s">
        <v>46</v>
      </c>
      <c r="O49" s="219"/>
    </row>
    <row r="50" spans="1:15" ht="18" customHeight="1" thickBot="1" x14ac:dyDescent="0.3">
      <c r="A50" s="205"/>
      <c r="B50" s="206"/>
      <c r="C50" s="38" t="s">
        <v>31</v>
      </c>
      <c r="D50" s="39" t="s">
        <v>32</v>
      </c>
      <c r="E50" s="39" t="s">
        <v>33</v>
      </c>
      <c r="F50" s="39" t="s">
        <v>34</v>
      </c>
      <c r="G50" s="39" t="s">
        <v>35</v>
      </c>
      <c r="H50" s="39" t="s">
        <v>36</v>
      </c>
      <c r="I50" s="39" t="s">
        <v>37</v>
      </c>
      <c r="J50" s="40" t="s">
        <v>38</v>
      </c>
      <c r="K50" s="211"/>
      <c r="L50" s="211"/>
      <c r="N50" s="220"/>
      <c r="O50" s="206"/>
    </row>
    <row r="51" spans="1:15" ht="18" customHeight="1" thickBot="1" x14ac:dyDescent="0.3">
      <c r="A51" s="212" t="s">
        <v>39</v>
      </c>
      <c r="B51" s="21"/>
      <c r="C51" s="2"/>
      <c r="D51" s="3"/>
      <c r="E51" s="3"/>
      <c r="F51" s="3"/>
      <c r="G51" s="3"/>
      <c r="H51" s="3"/>
      <c r="I51" s="3"/>
      <c r="J51" s="24"/>
      <c r="K51" s="29">
        <f t="shared" ref="K51:K58" si="14">SUM(C51:J51)</f>
        <v>0</v>
      </c>
      <c r="L51" s="4" t="e">
        <f t="shared" ref="L51:L58" si="15">SUM(C51:J51)/$K$59</f>
        <v>#DIV/0!</v>
      </c>
    </row>
    <row r="52" spans="1:15" ht="18" customHeight="1" x14ac:dyDescent="0.25">
      <c r="A52" s="213"/>
      <c r="B52" s="43"/>
      <c r="C52" s="5"/>
      <c r="D52" s="6"/>
      <c r="E52" s="6"/>
      <c r="F52" s="6"/>
      <c r="G52" s="6"/>
      <c r="H52" s="6"/>
      <c r="I52" s="6"/>
      <c r="J52" s="25"/>
      <c r="K52" s="30">
        <f t="shared" si="14"/>
        <v>0</v>
      </c>
      <c r="L52" s="19" t="e">
        <f t="shared" si="15"/>
        <v>#DIV/0!</v>
      </c>
    </row>
    <row r="53" spans="1:15" ht="18" customHeight="1" x14ac:dyDescent="0.25">
      <c r="A53" s="213"/>
      <c r="B53" s="43"/>
      <c r="C53" s="5"/>
      <c r="D53" s="6"/>
      <c r="E53" s="6"/>
      <c r="F53" s="6"/>
      <c r="G53" s="6"/>
      <c r="H53" s="6"/>
      <c r="I53" s="6"/>
      <c r="J53" s="25"/>
      <c r="K53" s="30">
        <f t="shared" si="14"/>
        <v>0</v>
      </c>
      <c r="L53" s="19" t="e">
        <f t="shared" si="15"/>
        <v>#DIV/0!</v>
      </c>
    </row>
    <row r="54" spans="1:15" ht="18" customHeight="1" x14ac:dyDescent="0.25">
      <c r="A54" s="213"/>
      <c r="B54" s="43"/>
      <c r="C54" s="5"/>
      <c r="D54" s="6"/>
      <c r="E54" s="6"/>
      <c r="F54" s="6"/>
      <c r="G54" s="6"/>
      <c r="H54" s="6"/>
      <c r="I54" s="6"/>
      <c r="J54" s="25"/>
      <c r="K54" s="30">
        <f t="shared" si="14"/>
        <v>0</v>
      </c>
      <c r="L54" s="19" t="e">
        <f t="shared" si="15"/>
        <v>#DIV/0!</v>
      </c>
    </row>
    <row r="55" spans="1:15" ht="18" customHeight="1" x14ac:dyDescent="0.25">
      <c r="A55" s="213"/>
      <c r="B55" s="43"/>
      <c r="C55" s="5"/>
      <c r="D55" s="6"/>
      <c r="E55" s="6"/>
      <c r="F55" s="6"/>
      <c r="G55" s="6"/>
      <c r="H55" s="6"/>
      <c r="I55" s="6"/>
      <c r="J55" s="25"/>
      <c r="K55" s="30">
        <f t="shared" si="14"/>
        <v>0</v>
      </c>
      <c r="L55" s="19" t="e">
        <f t="shared" si="15"/>
        <v>#DIV/0!</v>
      </c>
    </row>
    <row r="56" spans="1:15" ht="18" customHeight="1" x14ac:dyDescent="0.25">
      <c r="A56" s="213"/>
      <c r="B56" s="43"/>
      <c r="C56" s="5"/>
      <c r="D56" s="6"/>
      <c r="E56" s="6"/>
      <c r="F56" s="6"/>
      <c r="G56" s="6"/>
      <c r="H56" s="6"/>
      <c r="I56" s="6"/>
      <c r="J56" s="25"/>
      <c r="K56" s="30">
        <f t="shared" si="14"/>
        <v>0</v>
      </c>
      <c r="L56" s="19" t="e">
        <f t="shared" si="15"/>
        <v>#DIV/0!</v>
      </c>
    </row>
    <row r="57" spans="1:15" ht="18" customHeight="1" x14ac:dyDescent="0.25">
      <c r="A57" s="213"/>
      <c r="B57" s="43"/>
      <c r="C57" s="5"/>
      <c r="D57" s="42"/>
      <c r="E57" s="42"/>
      <c r="F57" s="42"/>
      <c r="G57" s="42"/>
      <c r="H57" s="42"/>
      <c r="I57" s="42"/>
      <c r="J57" s="67"/>
      <c r="K57" s="30">
        <f t="shared" si="14"/>
        <v>0</v>
      </c>
      <c r="L57" s="19" t="e">
        <f t="shared" si="15"/>
        <v>#DIV/0!</v>
      </c>
    </row>
    <row r="58" spans="1:15" ht="18" customHeight="1" thickBot="1" x14ac:dyDescent="0.3">
      <c r="A58" s="214"/>
      <c r="B58" s="44"/>
      <c r="C58" s="136"/>
      <c r="D58" s="137"/>
      <c r="E58" s="137"/>
      <c r="F58" s="137"/>
      <c r="G58" s="137"/>
      <c r="H58" s="137"/>
      <c r="I58" s="137"/>
      <c r="J58" s="138"/>
      <c r="K58" s="30">
        <f t="shared" si="14"/>
        <v>0</v>
      </c>
      <c r="L58" s="20" t="e">
        <f t="shared" si="15"/>
        <v>#DIV/0!</v>
      </c>
    </row>
    <row r="59" spans="1:15" ht="18" customHeight="1" thickBot="1" x14ac:dyDescent="0.3">
      <c r="A59" s="207" t="s">
        <v>28</v>
      </c>
      <c r="B59" s="208"/>
      <c r="C59" s="18">
        <f t="shared" ref="C59:J59" si="16">SUM(C51:C58)</f>
        <v>0</v>
      </c>
      <c r="D59" s="32">
        <f t="shared" si="16"/>
        <v>0</v>
      </c>
      <c r="E59" s="32">
        <f t="shared" si="16"/>
        <v>0</v>
      </c>
      <c r="F59" s="32">
        <f t="shared" si="16"/>
        <v>0</v>
      </c>
      <c r="G59" s="32">
        <f t="shared" si="16"/>
        <v>0</v>
      </c>
      <c r="H59" s="32">
        <f t="shared" si="16"/>
        <v>0</v>
      </c>
      <c r="I59" s="32">
        <f t="shared" si="16"/>
        <v>0</v>
      </c>
      <c r="J59" s="33">
        <f t="shared" si="16"/>
        <v>0</v>
      </c>
      <c r="K59" s="31">
        <f t="shared" ref="K59:L59" si="17">SUM(K51:K58)</f>
        <v>0</v>
      </c>
      <c r="L59" s="17" t="e">
        <f t="shared" si="17"/>
        <v>#DIV/0!</v>
      </c>
    </row>
    <row r="60" spans="1:15" ht="18" customHeight="1" thickBot="1" x14ac:dyDescent="0.3">
      <c r="A60" s="192" t="s">
        <v>29</v>
      </c>
      <c r="B60" s="193"/>
      <c r="C60" s="34" t="e">
        <f>C59/$K$59</f>
        <v>#DIV/0!</v>
      </c>
      <c r="D60" s="35" t="e">
        <f t="shared" ref="D60:J60" si="18">D59/$K$59</f>
        <v>#DIV/0!</v>
      </c>
      <c r="E60" s="35" t="e">
        <f t="shared" si="18"/>
        <v>#DIV/0!</v>
      </c>
      <c r="F60" s="35" t="e">
        <f t="shared" si="18"/>
        <v>#DIV/0!</v>
      </c>
      <c r="G60" s="35" t="e">
        <f t="shared" si="18"/>
        <v>#DIV/0!</v>
      </c>
      <c r="H60" s="35" t="e">
        <f t="shared" si="18"/>
        <v>#DIV/0!</v>
      </c>
      <c r="I60" s="35" t="e">
        <f t="shared" si="18"/>
        <v>#DIV/0!</v>
      </c>
      <c r="J60" s="36" t="e">
        <f t="shared" si="18"/>
        <v>#DIV/0!</v>
      </c>
      <c r="K60" s="28" t="e">
        <f>SUM(C60:J60)</f>
        <v>#DIV/0!</v>
      </c>
      <c r="L60" s="7"/>
    </row>
    <row r="61" spans="1:15" ht="18" customHeight="1" thickBot="1" x14ac:dyDescent="0.3">
      <c r="A61" s="194" t="s">
        <v>41</v>
      </c>
      <c r="B61" s="8" t="s">
        <v>42</v>
      </c>
      <c r="C61" s="139"/>
      <c r="D61" s="140"/>
      <c r="E61" s="140"/>
      <c r="F61" s="140"/>
      <c r="G61" s="140"/>
      <c r="H61" s="140"/>
      <c r="I61" s="140"/>
      <c r="J61" s="141"/>
      <c r="K61" s="215"/>
      <c r="L61" s="198"/>
    </row>
    <row r="62" spans="1:15" ht="18" customHeight="1" x14ac:dyDescent="0.25">
      <c r="A62" s="195"/>
      <c r="B62" s="9" t="s">
        <v>14</v>
      </c>
      <c r="C62" s="10"/>
      <c r="D62" s="11"/>
      <c r="E62" s="11"/>
      <c r="F62" s="11"/>
      <c r="G62" s="11"/>
      <c r="H62" s="11"/>
      <c r="I62" s="11"/>
      <c r="J62" s="12"/>
      <c r="K62" s="216"/>
      <c r="L62" s="200"/>
    </row>
    <row r="63" spans="1:15" ht="18" customHeight="1" thickBot="1" x14ac:dyDescent="0.3">
      <c r="A63" s="196"/>
      <c r="B63" s="13" t="s">
        <v>43</v>
      </c>
      <c r="C63" s="14"/>
      <c r="D63" s="15"/>
      <c r="E63" s="15"/>
      <c r="F63" s="15"/>
      <c r="G63" s="15"/>
      <c r="H63" s="15"/>
      <c r="I63" s="15"/>
      <c r="J63" s="16"/>
      <c r="K63" s="217"/>
      <c r="L63" s="202"/>
    </row>
    <row r="64" spans="1:15" ht="18" customHeight="1" thickBot="1" x14ac:dyDescent="0.3"/>
    <row r="65" spans="1:15" ht="18" customHeight="1" x14ac:dyDescent="0.25">
      <c r="A65" s="203"/>
      <c r="B65" s="204"/>
      <c r="C65" s="207" t="s">
        <v>27</v>
      </c>
      <c r="D65" s="208"/>
      <c r="E65" s="208"/>
      <c r="F65" s="208"/>
      <c r="G65" s="208"/>
      <c r="H65" s="208"/>
      <c r="I65" s="208"/>
      <c r="J65" s="209"/>
      <c r="K65" s="210" t="s">
        <v>28</v>
      </c>
      <c r="L65" s="210" t="s">
        <v>29</v>
      </c>
      <c r="N65" s="218" t="s">
        <v>47</v>
      </c>
      <c r="O65" s="219"/>
    </row>
    <row r="66" spans="1:15" ht="18" customHeight="1" thickBot="1" x14ac:dyDescent="0.3">
      <c r="A66" s="205"/>
      <c r="B66" s="206"/>
      <c r="C66" s="38" t="s">
        <v>31</v>
      </c>
      <c r="D66" s="39" t="s">
        <v>32</v>
      </c>
      <c r="E66" s="39" t="s">
        <v>33</v>
      </c>
      <c r="F66" s="39" t="s">
        <v>34</v>
      </c>
      <c r="G66" s="39" t="s">
        <v>35</v>
      </c>
      <c r="H66" s="39" t="s">
        <v>36</v>
      </c>
      <c r="I66" s="39" t="s">
        <v>37</v>
      </c>
      <c r="J66" s="40" t="s">
        <v>38</v>
      </c>
      <c r="K66" s="211"/>
      <c r="L66" s="211"/>
      <c r="N66" s="220"/>
      <c r="O66" s="206"/>
    </row>
    <row r="67" spans="1:15" ht="18" customHeight="1" thickBot="1" x14ac:dyDescent="0.3">
      <c r="A67" s="212" t="s">
        <v>39</v>
      </c>
      <c r="B67" s="21"/>
      <c r="C67" s="2"/>
      <c r="D67" s="3"/>
      <c r="E67" s="3"/>
      <c r="F67" s="3"/>
      <c r="G67" s="3"/>
      <c r="H67" s="3"/>
      <c r="I67" s="3"/>
      <c r="J67" s="24"/>
      <c r="K67" s="29">
        <f t="shared" ref="K67:K74" si="19">SUM(C67:J67)</f>
        <v>0</v>
      </c>
      <c r="L67" s="4" t="e">
        <f t="shared" ref="L67:L74" si="20">SUM(C67:J67)/$K$75</f>
        <v>#DIV/0!</v>
      </c>
    </row>
    <row r="68" spans="1:15" ht="18" customHeight="1" x14ac:dyDescent="0.25">
      <c r="A68" s="213"/>
      <c r="B68" s="43"/>
      <c r="C68" s="5"/>
      <c r="D68" s="6"/>
      <c r="E68" s="6"/>
      <c r="F68" s="6"/>
      <c r="G68" s="6"/>
      <c r="H68" s="6"/>
      <c r="I68" s="6"/>
      <c r="J68" s="25"/>
      <c r="K68" s="30">
        <f t="shared" si="19"/>
        <v>0</v>
      </c>
      <c r="L68" s="19" t="e">
        <f t="shared" si="20"/>
        <v>#DIV/0!</v>
      </c>
    </row>
    <row r="69" spans="1:15" ht="18" customHeight="1" x14ac:dyDescent="0.25">
      <c r="A69" s="213"/>
      <c r="B69" s="43"/>
      <c r="C69" s="5"/>
      <c r="D69" s="6"/>
      <c r="E69" s="6"/>
      <c r="F69" s="6"/>
      <c r="G69" s="6"/>
      <c r="H69" s="6"/>
      <c r="I69" s="6"/>
      <c r="J69" s="25"/>
      <c r="K69" s="30">
        <f t="shared" si="19"/>
        <v>0</v>
      </c>
      <c r="L69" s="19" t="e">
        <f t="shared" si="20"/>
        <v>#DIV/0!</v>
      </c>
    </row>
    <row r="70" spans="1:15" ht="18" customHeight="1" x14ac:dyDescent="0.25">
      <c r="A70" s="213"/>
      <c r="B70" s="43"/>
      <c r="C70" s="5"/>
      <c r="D70" s="6"/>
      <c r="E70" s="6"/>
      <c r="F70" s="6"/>
      <c r="G70" s="6"/>
      <c r="H70" s="6"/>
      <c r="I70" s="6"/>
      <c r="J70" s="25"/>
      <c r="K70" s="30">
        <f t="shared" si="19"/>
        <v>0</v>
      </c>
      <c r="L70" s="19" t="e">
        <f t="shared" si="20"/>
        <v>#DIV/0!</v>
      </c>
    </row>
    <row r="71" spans="1:15" ht="18" customHeight="1" x14ac:dyDescent="0.25">
      <c r="A71" s="213"/>
      <c r="B71" s="43"/>
      <c r="C71" s="5"/>
      <c r="D71" s="6"/>
      <c r="E71" s="6"/>
      <c r="F71" s="6"/>
      <c r="G71" s="6"/>
      <c r="H71" s="6"/>
      <c r="I71" s="6"/>
      <c r="J71" s="25"/>
      <c r="K71" s="30">
        <f t="shared" si="19"/>
        <v>0</v>
      </c>
      <c r="L71" s="19" t="e">
        <f t="shared" si="20"/>
        <v>#DIV/0!</v>
      </c>
    </row>
    <row r="72" spans="1:15" ht="18" customHeight="1" x14ac:dyDescent="0.25">
      <c r="A72" s="213"/>
      <c r="B72" s="43"/>
      <c r="C72" s="5"/>
      <c r="D72" s="6"/>
      <c r="E72" s="6"/>
      <c r="F72" s="6"/>
      <c r="G72" s="6"/>
      <c r="H72" s="6"/>
      <c r="I72" s="6"/>
      <c r="J72" s="25"/>
      <c r="K72" s="30">
        <f t="shared" si="19"/>
        <v>0</v>
      </c>
      <c r="L72" s="19" t="e">
        <f t="shared" si="20"/>
        <v>#DIV/0!</v>
      </c>
    </row>
    <row r="73" spans="1:15" ht="18" customHeight="1" x14ac:dyDescent="0.25">
      <c r="A73" s="213"/>
      <c r="B73" s="43"/>
      <c r="C73" s="5"/>
      <c r="D73" s="42"/>
      <c r="E73" s="42"/>
      <c r="F73" s="42"/>
      <c r="G73" s="42"/>
      <c r="H73" s="42"/>
      <c r="I73" s="42"/>
      <c r="J73" s="67"/>
      <c r="K73" s="30">
        <f t="shared" si="19"/>
        <v>0</v>
      </c>
      <c r="L73" s="19" t="e">
        <f t="shared" si="20"/>
        <v>#DIV/0!</v>
      </c>
    </row>
    <row r="74" spans="1:15" ht="18" customHeight="1" thickBot="1" x14ac:dyDescent="0.3">
      <c r="A74" s="214"/>
      <c r="B74" s="44"/>
      <c r="C74" s="136"/>
      <c r="D74" s="137"/>
      <c r="E74" s="137"/>
      <c r="F74" s="137"/>
      <c r="G74" s="137"/>
      <c r="H74" s="137"/>
      <c r="I74" s="137"/>
      <c r="J74" s="138"/>
      <c r="K74" s="30">
        <f t="shared" si="19"/>
        <v>0</v>
      </c>
      <c r="L74" s="20" t="e">
        <f t="shared" si="20"/>
        <v>#DIV/0!</v>
      </c>
    </row>
    <row r="75" spans="1:15" ht="18" customHeight="1" thickBot="1" x14ac:dyDescent="0.3">
      <c r="A75" s="207" t="s">
        <v>28</v>
      </c>
      <c r="B75" s="208"/>
      <c r="C75" s="18">
        <f t="shared" ref="C75:J75" si="21">SUM(C67:C74)</f>
        <v>0</v>
      </c>
      <c r="D75" s="32">
        <f t="shared" si="21"/>
        <v>0</v>
      </c>
      <c r="E75" s="32">
        <f t="shared" si="21"/>
        <v>0</v>
      </c>
      <c r="F75" s="32">
        <f t="shared" si="21"/>
        <v>0</v>
      </c>
      <c r="G75" s="32">
        <f t="shared" si="21"/>
        <v>0</v>
      </c>
      <c r="H75" s="32">
        <f t="shared" si="21"/>
        <v>0</v>
      </c>
      <c r="I75" s="32">
        <f t="shared" si="21"/>
        <v>0</v>
      </c>
      <c r="J75" s="33">
        <f t="shared" si="21"/>
        <v>0</v>
      </c>
      <c r="K75" s="31">
        <f t="shared" ref="K75:L75" si="22">SUM(K67:K74)</f>
        <v>0</v>
      </c>
      <c r="L75" s="17" t="e">
        <f t="shared" si="22"/>
        <v>#DIV/0!</v>
      </c>
    </row>
    <row r="76" spans="1:15" ht="18" customHeight="1" thickBot="1" x14ac:dyDescent="0.3">
      <c r="A76" s="192" t="s">
        <v>29</v>
      </c>
      <c r="B76" s="193"/>
      <c r="C76" s="34" t="e">
        <f>C75/$K$75</f>
        <v>#DIV/0!</v>
      </c>
      <c r="D76" s="35" t="e">
        <f t="shared" ref="D76:J76" si="23">D75/$K$75</f>
        <v>#DIV/0!</v>
      </c>
      <c r="E76" s="35" t="e">
        <f t="shared" si="23"/>
        <v>#DIV/0!</v>
      </c>
      <c r="F76" s="35" t="e">
        <f t="shared" si="23"/>
        <v>#DIV/0!</v>
      </c>
      <c r="G76" s="35" t="e">
        <f t="shared" si="23"/>
        <v>#DIV/0!</v>
      </c>
      <c r="H76" s="35" t="e">
        <f t="shared" si="23"/>
        <v>#DIV/0!</v>
      </c>
      <c r="I76" s="35" t="e">
        <f t="shared" si="23"/>
        <v>#DIV/0!</v>
      </c>
      <c r="J76" s="36" t="e">
        <f t="shared" si="23"/>
        <v>#DIV/0!</v>
      </c>
      <c r="K76" s="28" t="e">
        <f>SUM(C76:J76)</f>
        <v>#DIV/0!</v>
      </c>
      <c r="L76" s="7"/>
    </row>
    <row r="77" spans="1:15" ht="18" customHeight="1" thickBot="1" x14ac:dyDescent="0.3">
      <c r="A77" s="194" t="s">
        <v>41</v>
      </c>
      <c r="B77" s="8" t="s">
        <v>42</v>
      </c>
      <c r="C77" s="139"/>
      <c r="D77" s="140"/>
      <c r="E77" s="140"/>
      <c r="F77" s="140"/>
      <c r="G77" s="140"/>
      <c r="H77" s="140"/>
      <c r="I77" s="140"/>
      <c r="J77" s="141"/>
      <c r="K77" s="215"/>
      <c r="L77" s="198"/>
    </row>
    <row r="78" spans="1:15" ht="18" customHeight="1" x14ac:dyDescent="0.25">
      <c r="A78" s="195"/>
      <c r="B78" s="9" t="s">
        <v>14</v>
      </c>
      <c r="C78" s="10"/>
      <c r="D78" s="11"/>
      <c r="E78" s="11"/>
      <c r="F78" s="11"/>
      <c r="G78" s="11"/>
      <c r="H78" s="11"/>
      <c r="I78" s="11"/>
      <c r="J78" s="12"/>
      <c r="K78" s="216"/>
      <c r="L78" s="200"/>
    </row>
    <row r="79" spans="1:15" ht="18" customHeight="1" thickBot="1" x14ac:dyDescent="0.3">
      <c r="A79" s="196"/>
      <c r="B79" s="13" t="s">
        <v>43</v>
      </c>
      <c r="C79" s="14"/>
      <c r="D79" s="15"/>
      <c r="E79" s="15"/>
      <c r="F79" s="15"/>
      <c r="G79" s="15"/>
      <c r="H79" s="15"/>
      <c r="I79" s="15"/>
      <c r="J79" s="16"/>
      <c r="K79" s="217"/>
      <c r="L79" s="202"/>
    </row>
    <row r="80" spans="1:15" ht="18" customHeight="1" thickBot="1" x14ac:dyDescent="0.3"/>
    <row r="81" spans="1:15" ht="18" customHeight="1" x14ac:dyDescent="0.25">
      <c r="A81" s="203"/>
      <c r="B81" s="204"/>
      <c r="C81" s="207" t="s">
        <v>27</v>
      </c>
      <c r="D81" s="208"/>
      <c r="E81" s="208"/>
      <c r="F81" s="208"/>
      <c r="G81" s="208"/>
      <c r="H81" s="208"/>
      <c r="I81" s="208"/>
      <c r="J81" s="209"/>
      <c r="K81" s="210" t="s">
        <v>28</v>
      </c>
      <c r="L81" s="210" t="s">
        <v>29</v>
      </c>
      <c r="N81" s="218" t="s">
        <v>48</v>
      </c>
      <c r="O81" s="219"/>
    </row>
    <row r="82" spans="1:15" ht="18" customHeight="1" thickBot="1" x14ac:dyDescent="0.3">
      <c r="A82" s="205"/>
      <c r="B82" s="206"/>
      <c r="C82" s="38" t="s">
        <v>31</v>
      </c>
      <c r="D82" s="39" t="s">
        <v>32</v>
      </c>
      <c r="E82" s="39" t="s">
        <v>33</v>
      </c>
      <c r="F82" s="39" t="s">
        <v>34</v>
      </c>
      <c r="G82" s="39" t="s">
        <v>35</v>
      </c>
      <c r="H82" s="39" t="s">
        <v>36</v>
      </c>
      <c r="I82" s="39" t="s">
        <v>37</v>
      </c>
      <c r="J82" s="40" t="s">
        <v>38</v>
      </c>
      <c r="K82" s="211"/>
      <c r="L82" s="211"/>
      <c r="N82" s="220"/>
      <c r="O82" s="206"/>
    </row>
    <row r="83" spans="1:15" ht="18" customHeight="1" thickBot="1" x14ac:dyDescent="0.3">
      <c r="A83" s="212" t="s">
        <v>39</v>
      </c>
      <c r="B83" s="21"/>
      <c r="C83" s="2"/>
      <c r="D83" s="3"/>
      <c r="E83" s="3"/>
      <c r="F83" s="3"/>
      <c r="G83" s="3"/>
      <c r="H83" s="3"/>
      <c r="I83" s="3"/>
      <c r="J83" s="24"/>
      <c r="K83" s="29">
        <f t="shared" ref="K83:K90" si="24">SUM(C83:J83)</f>
        <v>0</v>
      </c>
      <c r="L83" s="4" t="e">
        <f t="shared" ref="L83:L90" si="25">SUM(C83:J83)/$K$91</f>
        <v>#DIV/0!</v>
      </c>
    </row>
    <row r="84" spans="1:15" ht="18" customHeight="1" x14ac:dyDescent="0.25">
      <c r="A84" s="213"/>
      <c r="B84" s="43"/>
      <c r="C84" s="5"/>
      <c r="D84" s="6"/>
      <c r="E84" s="6"/>
      <c r="F84" s="6"/>
      <c r="G84" s="6"/>
      <c r="H84" s="6"/>
      <c r="I84" s="6"/>
      <c r="J84" s="25"/>
      <c r="K84" s="30">
        <f t="shared" si="24"/>
        <v>0</v>
      </c>
      <c r="L84" s="19" t="e">
        <f t="shared" si="25"/>
        <v>#DIV/0!</v>
      </c>
    </row>
    <row r="85" spans="1:15" ht="18" customHeight="1" x14ac:dyDescent="0.25">
      <c r="A85" s="213"/>
      <c r="B85" s="43"/>
      <c r="C85" s="5"/>
      <c r="D85" s="6"/>
      <c r="E85" s="6"/>
      <c r="F85" s="6"/>
      <c r="G85" s="6"/>
      <c r="H85" s="6"/>
      <c r="I85" s="6"/>
      <c r="J85" s="25"/>
      <c r="K85" s="30">
        <f t="shared" si="24"/>
        <v>0</v>
      </c>
      <c r="L85" s="19" t="e">
        <f t="shared" si="25"/>
        <v>#DIV/0!</v>
      </c>
    </row>
    <row r="86" spans="1:15" ht="18" customHeight="1" x14ac:dyDescent="0.25">
      <c r="A86" s="213"/>
      <c r="B86" s="43"/>
      <c r="C86" s="5"/>
      <c r="D86" s="6"/>
      <c r="E86" s="6"/>
      <c r="F86" s="6"/>
      <c r="G86" s="6"/>
      <c r="H86" s="6"/>
      <c r="I86" s="6"/>
      <c r="J86" s="25"/>
      <c r="K86" s="30">
        <f t="shared" si="24"/>
        <v>0</v>
      </c>
      <c r="L86" s="19" t="e">
        <f t="shared" si="25"/>
        <v>#DIV/0!</v>
      </c>
    </row>
    <row r="87" spans="1:15" ht="18" customHeight="1" x14ac:dyDescent="0.25">
      <c r="A87" s="213"/>
      <c r="B87" s="43"/>
      <c r="C87" s="5"/>
      <c r="D87" s="6"/>
      <c r="E87" s="6"/>
      <c r="F87" s="6"/>
      <c r="G87" s="6"/>
      <c r="H87" s="6"/>
      <c r="I87" s="6"/>
      <c r="J87" s="25"/>
      <c r="K87" s="30">
        <f t="shared" si="24"/>
        <v>0</v>
      </c>
      <c r="L87" s="19" t="e">
        <f t="shared" si="25"/>
        <v>#DIV/0!</v>
      </c>
    </row>
    <row r="88" spans="1:15" ht="18" customHeight="1" x14ac:dyDescent="0.25">
      <c r="A88" s="213"/>
      <c r="B88" s="43"/>
      <c r="C88" s="5"/>
      <c r="D88" s="6"/>
      <c r="E88" s="6"/>
      <c r="F88" s="6"/>
      <c r="G88" s="6"/>
      <c r="H88" s="6"/>
      <c r="I88" s="6"/>
      <c r="J88" s="25"/>
      <c r="K88" s="30">
        <f t="shared" si="24"/>
        <v>0</v>
      </c>
      <c r="L88" s="19" t="e">
        <f t="shared" si="25"/>
        <v>#DIV/0!</v>
      </c>
    </row>
    <row r="89" spans="1:15" ht="18" customHeight="1" x14ac:dyDescent="0.25">
      <c r="A89" s="213"/>
      <c r="B89" s="43"/>
      <c r="C89" s="5"/>
      <c r="D89" s="42"/>
      <c r="E89" s="42"/>
      <c r="F89" s="42"/>
      <c r="G89" s="42"/>
      <c r="H89" s="42"/>
      <c r="I89" s="42"/>
      <c r="J89" s="67"/>
      <c r="K89" s="30">
        <f t="shared" si="24"/>
        <v>0</v>
      </c>
      <c r="L89" s="19" t="e">
        <f t="shared" si="25"/>
        <v>#DIV/0!</v>
      </c>
    </row>
    <row r="90" spans="1:15" ht="18" customHeight="1" thickBot="1" x14ac:dyDescent="0.3">
      <c r="A90" s="214"/>
      <c r="B90" s="44"/>
      <c r="C90" s="136"/>
      <c r="D90" s="137"/>
      <c r="E90" s="137"/>
      <c r="F90" s="137"/>
      <c r="G90" s="137"/>
      <c r="H90" s="137"/>
      <c r="I90" s="137"/>
      <c r="J90" s="138"/>
      <c r="K90" s="30">
        <f t="shared" si="24"/>
        <v>0</v>
      </c>
      <c r="L90" s="20" t="e">
        <f t="shared" si="25"/>
        <v>#DIV/0!</v>
      </c>
    </row>
    <row r="91" spans="1:15" ht="18" customHeight="1" thickBot="1" x14ac:dyDescent="0.3">
      <c r="A91" s="207" t="s">
        <v>28</v>
      </c>
      <c r="B91" s="208"/>
      <c r="C91" s="144">
        <f t="shared" ref="C91:J91" si="26">SUM(C83:C90)</f>
        <v>0</v>
      </c>
      <c r="D91" s="144">
        <f t="shared" si="26"/>
        <v>0</v>
      </c>
      <c r="E91" s="144">
        <f t="shared" si="26"/>
        <v>0</v>
      </c>
      <c r="F91" s="144">
        <f t="shared" si="26"/>
        <v>0</v>
      </c>
      <c r="G91" s="144">
        <f t="shared" si="26"/>
        <v>0</v>
      </c>
      <c r="H91" s="144">
        <f t="shared" si="26"/>
        <v>0</v>
      </c>
      <c r="I91" s="144">
        <f t="shared" si="26"/>
        <v>0</v>
      </c>
      <c r="J91" s="144">
        <f t="shared" si="26"/>
        <v>0</v>
      </c>
      <c r="K91" s="31">
        <f t="shared" ref="K91:L91" si="27">SUM(K83:K90)</f>
        <v>0</v>
      </c>
      <c r="L91" s="17" t="e">
        <f t="shared" si="27"/>
        <v>#DIV/0!</v>
      </c>
    </row>
    <row r="92" spans="1:15" ht="18" customHeight="1" thickBot="1" x14ac:dyDescent="0.3">
      <c r="A92" s="192" t="s">
        <v>29</v>
      </c>
      <c r="B92" s="193"/>
      <c r="C92" s="145" t="e">
        <f>C91/$K$91</f>
        <v>#DIV/0!</v>
      </c>
      <c r="D92" s="145" t="e">
        <f t="shared" ref="D92:J92" si="28">D91/$K$91</f>
        <v>#DIV/0!</v>
      </c>
      <c r="E92" s="145" t="e">
        <f t="shared" si="28"/>
        <v>#DIV/0!</v>
      </c>
      <c r="F92" s="145" t="e">
        <f t="shared" si="28"/>
        <v>#DIV/0!</v>
      </c>
      <c r="G92" s="145" t="e">
        <f t="shared" si="28"/>
        <v>#DIV/0!</v>
      </c>
      <c r="H92" s="145" t="e">
        <f t="shared" si="28"/>
        <v>#DIV/0!</v>
      </c>
      <c r="I92" s="145" t="e">
        <f t="shared" si="28"/>
        <v>#DIV/0!</v>
      </c>
      <c r="J92" s="145" t="e">
        <f t="shared" si="28"/>
        <v>#DIV/0!</v>
      </c>
      <c r="K92" s="28" t="e">
        <f>SUM(C92:J92)</f>
        <v>#DIV/0!</v>
      </c>
      <c r="L92" s="7"/>
    </row>
    <row r="93" spans="1:15" ht="18" customHeight="1" thickBot="1" x14ac:dyDescent="0.3">
      <c r="A93" s="194" t="s">
        <v>41</v>
      </c>
      <c r="B93" s="8" t="s">
        <v>42</v>
      </c>
      <c r="C93" s="139"/>
      <c r="D93" s="140"/>
      <c r="E93" s="140"/>
      <c r="F93" s="140"/>
      <c r="G93" s="140"/>
      <c r="H93" s="140"/>
      <c r="I93" s="140"/>
      <c r="J93" s="141"/>
      <c r="K93" s="215"/>
      <c r="L93" s="198"/>
    </row>
    <row r="94" spans="1:15" ht="18" customHeight="1" x14ac:dyDescent="0.25">
      <c r="A94" s="195"/>
      <c r="B94" s="9" t="s">
        <v>14</v>
      </c>
      <c r="C94" s="10"/>
      <c r="D94" s="11"/>
      <c r="E94" s="11"/>
      <c r="F94" s="11"/>
      <c r="G94" s="11"/>
      <c r="H94" s="11"/>
      <c r="I94" s="11"/>
      <c r="J94" s="12"/>
      <c r="K94" s="216"/>
      <c r="L94" s="200"/>
    </row>
    <row r="95" spans="1:15" ht="18" customHeight="1" thickBot="1" x14ac:dyDescent="0.3">
      <c r="A95" s="196"/>
      <c r="B95" s="13" t="s">
        <v>43</v>
      </c>
      <c r="C95" s="14"/>
      <c r="D95" s="15"/>
      <c r="E95" s="15"/>
      <c r="F95" s="15"/>
      <c r="G95" s="15"/>
      <c r="H95" s="15"/>
      <c r="I95" s="15"/>
      <c r="J95" s="16"/>
      <c r="K95" s="217"/>
      <c r="L95" s="202"/>
    </row>
    <row r="96" spans="1:15" ht="18" customHeight="1" thickBot="1" x14ac:dyDescent="0.3"/>
    <row r="97" spans="1:15" ht="18" customHeight="1" x14ac:dyDescent="0.25">
      <c r="A97" s="203"/>
      <c r="B97" s="204"/>
      <c r="C97" s="207" t="s">
        <v>27</v>
      </c>
      <c r="D97" s="208"/>
      <c r="E97" s="208"/>
      <c r="F97" s="208"/>
      <c r="G97" s="208"/>
      <c r="H97" s="208"/>
      <c r="I97" s="208"/>
      <c r="J97" s="209"/>
      <c r="K97" s="210" t="s">
        <v>28</v>
      </c>
      <c r="L97" s="210" t="s">
        <v>29</v>
      </c>
      <c r="N97" s="218" t="s">
        <v>49</v>
      </c>
      <c r="O97" s="219"/>
    </row>
    <row r="98" spans="1:15" ht="18" customHeight="1" thickBot="1" x14ac:dyDescent="0.3">
      <c r="A98" s="205"/>
      <c r="B98" s="206"/>
      <c r="C98" s="38" t="s">
        <v>31</v>
      </c>
      <c r="D98" s="39" t="s">
        <v>32</v>
      </c>
      <c r="E98" s="39" t="s">
        <v>33</v>
      </c>
      <c r="F98" s="39" t="s">
        <v>34</v>
      </c>
      <c r="G98" s="39" t="s">
        <v>35</v>
      </c>
      <c r="H98" s="39" t="s">
        <v>36</v>
      </c>
      <c r="I98" s="39" t="s">
        <v>37</v>
      </c>
      <c r="J98" s="40" t="s">
        <v>38</v>
      </c>
      <c r="K98" s="211"/>
      <c r="L98" s="211"/>
      <c r="N98" s="220"/>
      <c r="O98" s="206"/>
    </row>
    <row r="99" spans="1:15" ht="18" customHeight="1" thickBot="1" x14ac:dyDescent="0.3">
      <c r="A99" s="212" t="s">
        <v>39</v>
      </c>
      <c r="B99" s="21"/>
      <c r="C99" s="2"/>
      <c r="D99" s="3"/>
      <c r="E99" s="3"/>
      <c r="F99" s="3"/>
      <c r="G99" s="3"/>
      <c r="H99" s="3"/>
      <c r="I99" s="3"/>
      <c r="J99" s="24"/>
      <c r="K99" s="29">
        <f t="shared" ref="K99:K106" si="29">SUM(C99:J99)</f>
        <v>0</v>
      </c>
      <c r="L99" s="4" t="e">
        <f t="shared" ref="L99:L106" si="30">SUM(C99:J99)/$K$107</f>
        <v>#DIV/0!</v>
      </c>
    </row>
    <row r="100" spans="1:15" ht="18" customHeight="1" x14ac:dyDescent="0.25">
      <c r="A100" s="213"/>
      <c r="B100" s="43"/>
      <c r="C100" s="5"/>
      <c r="D100" s="6"/>
      <c r="E100" s="6"/>
      <c r="F100" s="6"/>
      <c r="G100" s="6"/>
      <c r="H100" s="6"/>
      <c r="I100" s="6"/>
      <c r="J100" s="25"/>
      <c r="K100" s="30">
        <f t="shared" si="29"/>
        <v>0</v>
      </c>
      <c r="L100" s="19" t="e">
        <f t="shared" si="30"/>
        <v>#DIV/0!</v>
      </c>
    </row>
    <row r="101" spans="1:15" ht="18" customHeight="1" x14ac:dyDescent="0.25">
      <c r="A101" s="213"/>
      <c r="B101" s="43"/>
      <c r="C101" s="5"/>
      <c r="D101" s="6"/>
      <c r="E101" s="6"/>
      <c r="F101" s="6"/>
      <c r="G101" s="6"/>
      <c r="H101" s="6"/>
      <c r="I101" s="6"/>
      <c r="J101" s="25"/>
      <c r="K101" s="30">
        <f t="shared" si="29"/>
        <v>0</v>
      </c>
      <c r="L101" s="19" t="e">
        <f t="shared" si="30"/>
        <v>#DIV/0!</v>
      </c>
    </row>
    <row r="102" spans="1:15" ht="18" customHeight="1" x14ac:dyDescent="0.25">
      <c r="A102" s="213"/>
      <c r="B102" s="43"/>
      <c r="C102" s="5"/>
      <c r="D102" s="6"/>
      <c r="E102" s="6"/>
      <c r="F102" s="6"/>
      <c r="G102" s="6"/>
      <c r="H102" s="6"/>
      <c r="I102" s="6"/>
      <c r="J102" s="25"/>
      <c r="K102" s="30">
        <f t="shared" si="29"/>
        <v>0</v>
      </c>
      <c r="L102" s="19" t="e">
        <f t="shared" si="30"/>
        <v>#DIV/0!</v>
      </c>
    </row>
    <row r="103" spans="1:15" ht="18" customHeight="1" x14ac:dyDescent="0.25">
      <c r="A103" s="213"/>
      <c r="B103" s="43"/>
      <c r="C103" s="5"/>
      <c r="D103" s="6"/>
      <c r="E103" s="6"/>
      <c r="F103" s="6"/>
      <c r="G103" s="6"/>
      <c r="H103" s="6"/>
      <c r="I103" s="6"/>
      <c r="J103" s="25"/>
      <c r="K103" s="30">
        <f t="shared" si="29"/>
        <v>0</v>
      </c>
      <c r="L103" s="19" t="e">
        <f t="shared" si="30"/>
        <v>#DIV/0!</v>
      </c>
    </row>
    <row r="104" spans="1:15" ht="18" customHeight="1" x14ac:dyDescent="0.25">
      <c r="A104" s="213"/>
      <c r="B104" s="43"/>
      <c r="C104" s="5"/>
      <c r="D104" s="6"/>
      <c r="E104" s="6"/>
      <c r="F104" s="6"/>
      <c r="G104" s="6"/>
      <c r="H104" s="6"/>
      <c r="I104" s="6"/>
      <c r="J104" s="25"/>
      <c r="K104" s="30">
        <f t="shared" si="29"/>
        <v>0</v>
      </c>
      <c r="L104" s="19" t="e">
        <f t="shared" si="30"/>
        <v>#DIV/0!</v>
      </c>
    </row>
    <row r="105" spans="1:15" ht="18" customHeight="1" x14ac:dyDescent="0.25">
      <c r="A105" s="213"/>
      <c r="B105" s="43"/>
      <c r="C105" s="5"/>
      <c r="D105" s="42"/>
      <c r="E105" s="42"/>
      <c r="F105" s="42"/>
      <c r="G105" s="42"/>
      <c r="H105" s="42"/>
      <c r="I105" s="42"/>
      <c r="J105" s="67"/>
      <c r="K105" s="30">
        <f t="shared" si="29"/>
        <v>0</v>
      </c>
      <c r="L105" s="19" t="e">
        <f t="shared" si="30"/>
        <v>#DIV/0!</v>
      </c>
    </row>
    <row r="106" spans="1:15" ht="18" customHeight="1" thickBot="1" x14ac:dyDescent="0.3">
      <c r="A106" s="214"/>
      <c r="B106" s="44"/>
      <c r="C106" s="136"/>
      <c r="D106" s="137"/>
      <c r="E106" s="137"/>
      <c r="F106" s="137"/>
      <c r="G106" s="137"/>
      <c r="H106" s="137"/>
      <c r="I106" s="137"/>
      <c r="J106" s="138"/>
      <c r="K106" s="30">
        <f t="shared" si="29"/>
        <v>0</v>
      </c>
      <c r="L106" s="20" t="e">
        <f t="shared" si="30"/>
        <v>#DIV/0!</v>
      </c>
    </row>
    <row r="107" spans="1:15" ht="18" customHeight="1" thickBot="1" x14ac:dyDescent="0.3">
      <c r="A107" s="207" t="s">
        <v>28</v>
      </c>
      <c r="B107" s="208"/>
      <c r="C107" s="18">
        <f t="shared" ref="C107:J107" si="31">SUM(C99:C106)</f>
        <v>0</v>
      </c>
      <c r="D107" s="32">
        <f t="shared" si="31"/>
        <v>0</v>
      </c>
      <c r="E107" s="32">
        <f t="shared" si="31"/>
        <v>0</v>
      </c>
      <c r="F107" s="32">
        <f t="shared" si="31"/>
        <v>0</v>
      </c>
      <c r="G107" s="32">
        <f t="shared" si="31"/>
        <v>0</v>
      </c>
      <c r="H107" s="32">
        <f t="shared" si="31"/>
        <v>0</v>
      </c>
      <c r="I107" s="32">
        <f t="shared" si="31"/>
        <v>0</v>
      </c>
      <c r="J107" s="33">
        <f t="shared" si="31"/>
        <v>0</v>
      </c>
      <c r="K107" s="31">
        <f t="shared" ref="K107:L107" si="32">SUM(K99:K106)</f>
        <v>0</v>
      </c>
      <c r="L107" s="17" t="e">
        <f t="shared" si="32"/>
        <v>#DIV/0!</v>
      </c>
    </row>
    <row r="108" spans="1:15" ht="18" customHeight="1" thickBot="1" x14ac:dyDescent="0.3">
      <c r="A108" s="192" t="s">
        <v>29</v>
      </c>
      <c r="B108" s="193"/>
      <c r="C108" s="34" t="e">
        <f>C107/$K$107</f>
        <v>#DIV/0!</v>
      </c>
      <c r="D108" s="35" t="e">
        <f t="shared" ref="D108:J108" si="33">D107/$K$107</f>
        <v>#DIV/0!</v>
      </c>
      <c r="E108" s="35" t="e">
        <f t="shared" si="33"/>
        <v>#DIV/0!</v>
      </c>
      <c r="F108" s="35" t="e">
        <f t="shared" si="33"/>
        <v>#DIV/0!</v>
      </c>
      <c r="G108" s="35" t="e">
        <f t="shared" si="33"/>
        <v>#DIV/0!</v>
      </c>
      <c r="H108" s="35" t="e">
        <f t="shared" si="33"/>
        <v>#DIV/0!</v>
      </c>
      <c r="I108" s="35" t="e">
        <f t="shared" si="33"/>
        <v>#DIV/0!</v>
      </c>
      <c r="J108" s="36" t="e">
        <f t="shared" si="33"/>
        <v>#DIV/0!</v>
      </c>
      <c r="K108" s="28" t="e">
        <f>SUM(C108:J108)</f>
        <v>#DIV/0!</v>
      </c>
      <c r="L108" s="7"/>
    </row>
    <row r="109" spans="1:15" ht="18" customHeight="1" thickBot="1" x14ac:dyDescent="0.3">
      <c r="A109" s="194" t="s">
        <v>41</v>
      </c>
      <c r="B109" s="8" t="s">
        <v>42</v>
      </c>
      <c r="C109" s="139"/>
      <c r="D109" s="140"/>
      <c r="E109" s="140"/>
      <c r="F109" s="140"/>
      <c r="G109" s="140"/>
      <c r="H109" s="140"/>
      <c r="I109" s="140"/>
      <c r="J109" s="141"/>
      <c r="K109" s="197"/>
      <c r="L109" s="198"/>
    </row>
    <row r="110" spans="1:15" ht="18" customHeight="1" x14ac:dyDescent="0.25">
      <c r="A110" s="195"/>
      <c r="B110" s="9" t="s">
        <v>14</v>
      </c>
      <c r="C110" s="10"/>
      <c r="D110" s="11"/>
      <c r="E110" s="11"/>
      <c r="F110" s="11"/>
      <c r="G110" s="11"/>
      <c r="H110" s="11"/>
      <c r="I110" s="11"/>
      <c r="J110" s="12"/>
      <c r="K110" s="199"/>
      <c r="L110" s="200"/>
    </row>
    <row r="111" spans="1:15" ht="18" customHeight="1" thickBot="1" x14ac:dyDescent="0.3">
      <c r="A111" s="196"/>
      <c r="B111" s="13" t="s">
        <v>43</v>
      </c>
      <c r="C111" s="14"/>
      <c r="D111" s="15"/>
      <c r="E111" s="15"/>
      <c r="F111" s="15"/>
      <c r="G111" s="15"/>
      <c r="H111" s="15"/>
      <c r="I111" s="15"/>
      <c r="J111" s="16"/>
      <c r="K111" s="201"/>
      <c r="L111" s="202"/>
    </row>
  </sheetData>
  <mergeCells count="70">
    <mergeCell ref="A1:B2"/>
    <mergeCell ref="C1:J1"/>
    <mergeCell ref="K1:K2"/>
    <mergeCell ref="L1:L2"/>
    <mergeCell ref="N17:O18"/>
    <mergeCell ref="N1:O2"/>
    <mergeCell ref="A27:B27"/>
    <mergeCell ref="A11:B11"/>
    <mergeCell ref="A12:B12"/>
    <mergeCell ref="A13:A15"/>
    <mergeCell ref="K13:L15"/>
    <mergeCell ref="A17:B18"/>
    <mergeCell ref="C17:J17"/>
    <mergeCell ref="K17:K18"/>
    <mergeCell ref="L17:L18"/>
    <mergeCell ref="A19:A26"/>
    <mergeCell ref="K29:L31"/>
    <mergeCell ref="A33:B34"/>
    <mergeCell ref="C33:J33"/>
    <mergeCell ref="K33:K34"/>
    <mergeCell ref="L33:L34"/>
    <mergeCell ref="A28:B28"/>
    <mergeCell ref="A3:A10"/>
    <mergeCell ref="N97:O98"/>
    <mergeCell ref="A93:A95"/>
    <mergeCell ref="K93:L95"/>
    <mergeCell ref="N81:O82"/>
    <mergeCell ref="A76:B76"/>
    <mergeCell ref="A77:A79"/>
    <mergeCell ref="K77:L79"/>
    <mergeCell ref="A81:B82"/>
    <mergeCell ref="A67:A74"/>
    <mergeCell ref="A75:B75"/>
    <mergeCell ref="N65:O66"/>
    <mergeCell ref="N49:O50"/>
    <mergeCell ref="N33:O34"/>
    <mergeCell ref="A29:A31"/>
    <mergeCell ref="K45:L47"/>
    <mergeCell ref="K49:K50"/>
    <mergeCell ref="L49:L50"/>
    <mergeCell ref="A51:A58"/>
    <mergeCell ref="A49:B50"/>
    <mergeCell ref="C49:J49"/>
    <mergeCell ref="A35:A42"/>
    <mergeCell ref="A43:B43"/>
    <mergeCell ref="A44:B44"/>
    <mergeCell ref="A91:B91"/>
    <mergeCell ref="A65:B66"/>
    <mergeCell ref="A45:A47"/>
    <mergeCell ref="A59:B59"/>
    <mergeCell ref="A60:B60"/>
    <mergeCell ref="C65:J65"/>
    <mergeCell ref="K65:K66"/>
    <mergeCell ref="L65:L66"/>
    <mergeCell ref="A92:B92"/>
    <mergeCell ref="A61:A63"/>
    <mergeCell ref="K61:L63"/>
    <mergeCell ref="C81:J81"/>
    <mergeCell ref="K81:K82"/>
    <mergeCell ref="L81:L82"/>
    <mergeCell ref="A83:A90"/>
    <mergeCell ref="A108:B108"/>
    <mergeCell ref="A109:A111"/>
    <mergeCell ref="K109:L111"/>
    <mergeCell ref="A97:B98"/>
    <mergeCell ref="C97:J97"/>
    <mergeCell ref="K97:K98"/>
    <mergeCell ref="L97:L98"/>
    <mergeCell ref="A99:A106"/>
    <mergeCell ref="A107:B107"/>
  </mergeCells>
  <conditionalFormatting sqref="C3:J8">
    <cfRule type="dataBar" priority="99">
      <dataBar>
        <cfvo type="min"/>
        <cfvo type="max"/>
        <color rgb="FF638EC6"/>
      </dataBar>
    </cfRule>
    <cfRule type="dataBar" priority="100">
      <dataBar>
        <cfvo type="min"/>
        <cfvo type="max"/>
        <color rgb="FF638EC6"/>
      </dataBar>
    </cfRule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{AA9E5B0C-94EC-4805-8F07-2CCF1072088B}</x14:id>
        </ext>
      </extLst>
    </cfRule>
    <cfRule type="dataBar" priority="98">
      <dataBar>
        <cfvo type="min"/>
        <cfvo type="max"/>
        <color rgb="FF638EC6"/>
      </dataBar>
    </cfRule>
  </conditionalFormatting>
  <conditionalFormatting sqref="C3:J10">
    <cfRule type="dataBar" priority="306">
      <dataBar>
        <cfvo type="min"/>
        <cfvo type="max"/>
        <color rgb="FF638EC6"/>
      </dataBar>
    </cfRule>
    <cfRule type="dataBar" priority="292">
      <dataBar>
        <cfvo type="min"/>
        <cfvo type="max"/>
        <color rgb="FF638EC6"/>
      </dataBar>
    </cfRule>
    <cfRule type="dataBar" priority="279">
      <dataBar>
        <cfvo type="min"/>
        <cfvo type="max"/>
        <color rgb="FF638EC6"/>
      </dataBar>
    </cfRule>
    <cfRule type="dataBar" priority="223">
      <dataBar>
        <cfvo type="min"/>
        <cfvo type="max"/>
        <color rgb="FF638EC6"/>
      </dataBar>
    </cfRule>
    <cfRule type="dataBar" priority="220">
      <dataBar>
        <cfvo type="min"/>
        <cfvo type="max"/>
        <color rgb="FF638EC6"/>
      </dataBar>
    </cfRule>
    <cfRule type="cellIs" priority="218" operator="greaterThan">
      <formula>0</formula>
    </cfRule>
    <cfRule type="cellIs" priority="217" operator="greaterThan">
      <formula>$C$9</formula>
    </cfRule>
    <cfRule type="dataBar" priority="216">
      <dataBar>
        <cfvo type="min"/>
        <cfvo type="max"/>
        <color rgb="FF638EC6"/>
      </dataBar>
    </cfRule>
    <cfRule type="dataBar" priority="215">
      <dataBar>
        <cfvo type="min"/>
        <cfvo type="max"/>
        <color rgb="FF638EC6"/>
      </dataBar>
    </cfRule>
    <cfRule type="dataBar" priority="214">
      <dataBar>
        <cfvo type="min"/>
        <cfvo type="max"/>
        <color rgb="FF638EC6"/>
      </dataBar>
    </cfRule>
    <cfRule type="dataBar" priority="308">
      <dataBar>
        <cfvo type="min"/>
        <cfvo type="max"/>
        <color rgb="FF638EC6"/>
      </dataBar>
    </cfRule>
  </conditionalFormatting>
  <conditionalFormatting sqref="C19:J24">
    <cfRule type="dataBar" priority="79">
      <dataBar>
        <cfvo type="min"/>
        <cfvo type="max"/>
        <color rgb="FF638EC6"/>
      </dataBar>
    </cfRule>
    <cfRule type="dataBar" priority="78">
      <dataBar>
        <cfvo type="min"/>
        <cfvo type="max"/>
        <color rgb="FF638EC6"/>
      </dataBar>
    </cfRule>
    <cfRule type="dataBar" priority="77">
      <dataBar>
        <cfvo type="min"/>
        <cfvo type="max"/>
        <color rgb="FF638EC6"/>
      </dataBar>
    </cfRule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{D9BCFA40-B09A-45A9-AF9D-E0A07D07F282}</x14:id>
        </ext>
      </extLst>
    </cfRule>
  </conditionalFormatting>
  <conditionalFormatting sqref="C19:J26">
    <cfRule type="dataBar" priority="86">
      <dataBar>
        <cfvo type="min"/>
        <cfvo type="max"/>
        <color rgb="FF638EC6"/>
      </dataBar>
    </cfRule>
    <cfRule type="dataBar" priority="85">
      <dataBar>
        <cfvo type="min"/>
        <cfvo type="max"/>
        <color rgb="FF638EC6"/>
      </dataBar>
    </cfRule>
    <cfRule type="cellIs" priority="84" operator="greaterThan">
      <formula>0</formula>
    </cfRule>
    <cfRule type="cellIs" priority="83" operator="greaterThan">
      <formula>$C$9</formula>
    </cfRule>
    <cfRule type="dataBar" priority="82">
      <dataBar>
        <cfvo type="min"/>
        <cfvo type="max"/>
        <color rgb="FF638EC6"/>
      </dataBar>
    </cfRule>
    <cfRule type="dataBar" priority="81">
      <dataBar>
        <cfvo type="min"/>
        <cfvo type="max"/>
        <color rgb="FF638EC6"/>
      </dataBar>
    </cfRule>
    <cfRule type="dataBar" priority="80">
      <dataBar>
        <cfvo type="min"/>
        <cfvo type="max"/>
        <color rgb="FF638EC6"/>
      </dataBar>
    </cfRule>
    <cfRule type="dataBar" priority="90">
      <dataBar>
        <cfvo type="min"/>
        <cfvo type="max"/>
        <color rgb="FF638EC6"/>
      </dataBar>
    </cfRule>
    <cfRule type="dataBar" priority="89">
      <dataBar>
        <cfvo type="min"/>
        <cfvo type="max"/>
        <color rgb="FF638EC6"/>
      </dataBar>
    </cfRule>
    <cfRule type="dataBar" priority="88">
      <dataBar>
        <cfvo type="min"/>
        <cfvo type="max"/>
        <color rgb="FF638EC6"/>
      </dataBar>
    </cfRule>
    <cfRule type="dataBar" priority="87">
      <dataBar>
        <cfvo type="min"/>
        <cfvo type="max"/>
        <color rgb="FF638EC6"/>
      </dataBar>
    </cfRule>
  </conditionalFormatting>
  <conditionalFormatting sqref="C35:J40">
    <cfRule type="dataBar" priority="63">
      <dataBar>
        <cfvo type="min"/>
        <cfvo type="max"/>
        <color rgb="FF638EC6"/>
      </dataBar>
    </cfRule>
    <cfRule type="dataBar" priority="64">
      <dataBar>
        <cfvo type="min"/>
        <cfvo type="max"/>
        <color rgb="FF638EC6"/>
      </dataBar>
    </cfRule>
    <cfRule type="dataBar" priority="62">
      <dataBar>
        <cfvo type="min"/>
        <cfvo type="max"/>
        <color rgb="FF638EC6"/>
      </dataBar>
    </cfRule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{6DE32C95-A332-4562-8B50-168F74150D97}</x14:id>
        </ext>
      </extLst>
    </cfRule>
  </conditionalFormatting>
  <conditionalFormatting sqref="C35:J42">
    <cfRule type="dataBar" priority="75">
      <dataBar>
        <cfvo type="min"/>
        <cfvo type="max"/>
        <color rgb="FF638EC6"/>
      </dataBar>
    </cfRule>
    <cfRule type="dataBar" priority="74">
      <dataBar>
        <cfvo type="min"/>
        <cfvo type="max"/>
        <color rgb="FF638EC6"/>
      </dataBar>
    </cfRule>
    <cfRule type="dataBar" priority="73">
      <dataBar>
        <cfvo type="min"/>
        <cfvo type="max"/>
        <color rgb="FF638EC6"/>
      </dataBar>
    </cfRule>
    <cfRule type="dataBar" priority="72">
      <dataBar>
        <cfvo type="min"/>
        <cfvo type="max"/>
        <color rgb="FF638EC6"/>
      </dataBar>
    </cfRule>
    <cfRule type="dataBar" priority="71">
      <dataBar>
        <cfvo type="min"/>
        <cfvo type="max"/>
        <color rgb="FF638EC6"/>
      </dataBar>
    </cfRule>
    <cfRule type="dataBar" priority="70">
      <dataBar>
        <cfvo type="min"/>
        <cfvo type="max"/>
        <color rgb="FF638EC6"/>
      </dataBar>
    </cfRule>
    <cfRule type="cellIs" priority="68" operator="greaterThan">
      <formula>$C$9</formula>
    </cfRule>
    <cfRule type="dataBar" priority="66">
      <dataBar>
        <cfvo type="min"/>
        <cfvo type="max"/>
        <color rgb="FF638EC6"/>
      </dataBar>
    </cfRule>
    <cfRule type="dataBar" priority="65">
      <dataBar>
        <cfvo type="min"/>
        <cfvo type="max"/>
        <color rgb="FF638EC6"/>
      </dataBar>
    </cfRule>
    <cfRule type="dataBar" priority="67">
      <dataBar>
        <cfvo type="min"/>
        <cfvo type="max"/>
        <color rgb="FF638EC6"/>
      </dataBar>
    </cfRule>
    <cfRule type="cellIs" priority="69" operator="greaterThan">
      <formula>0</formula>
    </cfRule>
  </conditionalFormatting>
  <conditionalFormatting sqref="C51:J56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{C47C2FA6-B5EF-4F1C-BB9C-D1173AFF02E5}</x14:id>
        </ext>
      </extLst>
    </cfRule>
    <cfRule type="dataBar" priority="47">
      <dataBar>
        <cfvo type="min"/>
        <cfvo type="max"/>
        <color rgb="FF638EC6"/>
      </dataBar>
    </cfRule>
    <cfRule type="dataBar" priority="48">
      <dataBar>
        <cfvo type="min"/>
        <cfvo type="max"/>
        <color rgb="FF638EC6"/>
      </dataBar>
    </cfRule>
    <cfRule type="dataBar" priority="49">
      <dataBar>
        <cfvo type="min"/>
        <cfvo type="max"/>
        <color rgb="FF638EC6"/>
      </dataBar>
    </cfRule>
  </conditionalFormatting>
  <conditionalFormatting sqref="C51:J58">
    <cfRule type="dataBar" priority="50">
      <dataBar>
        <cfvo type="min"/>
        <cfvo type="max"/>
        <color rgb="FF638EC6"/>
      </dataBar>
    </cfRule>
    <cfRule type="dataBar" priority="51">
      <dataBar>
        <cfvo type="min"/>
        <cfvo type="max"/>
        <color rgb="FF638EC6"/>
      </dataBar>
    </cfRule>
    <cfRule type="dataBar" priority="52">
      <dataBar>
        <cfvo type="min"/>
        <cfvo type="max"/>
        <color rgb="FF638EC6"/>
      </dataBar>
    </cfRule>
    <cfRule type="cellIs" priority="53" operator="greaterThan">
      <formula>$C$9</formula>
    </cfRule>
    <cfRule type="cellIs" priority="54" operator="greaterThan">
      <formula>0</formula>
    </cfRule>
    <cfRule type="dataBar" priority="55">
      <dataBar>
        <cfvo type="min"/>
        <cfvo type="max"/>
        <color rgb="FF638EC6"/>
      </dataBar>
    </cfRule>
    <cfRule type="dataBar" priority="56">
      <dataBar>
        <cfvo type="min"/>
        <cfvo type="max"/>
        <color rgb="FF638EC6"/>
      </dataBar>
    </cfRule>
    <cfRule type="dataBar" priority="57">
      <dataBar>
        <cfvo type="min"/>
        <cfvo type="max"/>
        <color rgb="FF638EC6"/>
      </dataBar>
    </cfRule>
    <cfRule type="dataBar" priority="58">
      <dataBar>
        <cfvo type="min"/>
        <cfvo type="max"/>
        <color rgb="FF638EC6"/>
      </dataBar>
    </cfRule>
    <cfRule type="dataBar" priority="59">
      <dataBar>
        <cfvo type="min"/>
        <cfvo type="max"/>
        <color rgb="FF638EC6"/>
      </dataBar>
    </cfRule>
    <cfRule type="dataBar" priority="60">
      <dataBar>
        <cfvo type="min"/>
        <cfvo type="max"/>
        <color rgb="FF638EC6"/>
      </dataBar>
    </cfRule>
  </conditionalFormatting>
  <conditionalFormatting sqref="C67:J72">
    <cfRule type="dataBar" priority="34">
      <dataBar>
        <cfvo type="min"/>
        <cfvo type="max"/>
        <color rgb="FF638EC6"/>
      </dataBar>
    </cfRule>
    <cfRule type="dataBar" priority="33">
      <dataBar>
        <cfvo type="min"/>
        <cfvo type="max"/>
        <color rgb="FF638EC6"/>
      </dataBar>
    </cfRule>
    <cfRule type="dataBar" priority="32">
      <dataBar>
        <cfvo type="min"/>
        <cfvo type="max"/>
        <color rgb="FF638EC6"/>
      </dataBar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{BB710703-0555-46DA-8996-13AE0E9334CC}</x14:id>
        </ext>
      </extLst>
    </cfRule>
  </conditionalFormatting>
  <conditionalFormatting sqref="C67:J74">
    <cfRule type="dataBar" priority="45">
      <dataBar>
        <cfvo type="min"/>
        <cfvo type="max"/>
        <color rgb="FF638EC6"/>
      </dataBar>
    </cfRule>
    <cfRule type="dataBar" priority="44">
      <dataBar>
        <cfvo type="min"/>
        <cfvo type="max"/>
        <color rgb="FF638EC6"/>
      </dataBar>
    </cfRule>
    <cfRule type="dataBar" priority="43">
      <dataBar>
        <cfvo type="min"/>
        <cfvo type="max"/>
        <color rgb="FF638EC6"/>
      </dataBar>
    </cfRule>
    <cfRule type="dataBar" priority="42">
      <dataBar>
        <cfvo type="min"/>
        <cfvo type="max"/>
        <color rgb="FF638EC6"/>
      </dataBar>
    </cfRule>
    <cfRule type="dataBar" priority="40">
      <dataBar>
        <cfvo type="min"/>
        <cfvo type="max"/>
        <color rgb="FF638EC6"/>
      </dataBar>
    </cfRule>
    <cfRule type="cellIs" priority="39" operator="greaterThan">
      <formula>0</formula>
    </cfRule>
    <cfRule type="dataBar" priority="41">
      <dataBar>
        <cfvo type="min"/>
        <cfvo type="max"/>
        <color rgb="FF638EC6"/>
      </dataBar>
    </cfRule>
    <cfRule type="cellIs" priority="38" operator="greaterThan">
      <formula>$C$9</formula>
    </cfRule>
    <cfRule type="dataBar" priority="37">
      <dataBar>
        <cfvo type="min"/>
        <cfvo type="max"/>
        <color rgb="FF638EC6"/>
      </dataBar>
    </cfRule>
    <cfRule type="dataBar" priority="36">
      <dataBar>
        <cfvo type="min"/>
        <cfvo type="max"/>
        <color rgb="FF638EC6"/>
      </dataBar>
    </cfRule>
    <cfRule type="dataBar" priority="35">
      <dataBar>
        <cfvo type="min"/>
        <cfvo type="max"/>
        <color rgb="FF638EC6"/>
      </dataBar>
    </cfRule>
  </conditionalFormatting>
  <conditionalFormatting sqref="C83:J88">
    <cfRule type="dataBar" priority="17">
      <dataBar>
        <cfvo type="min"/>
        <cfvo type="max"/>
        <color rgb="FF638EC6"/>
      </dataBar>
    </cfRule>
    <cfRule type="dataBar" priority="19">
      <dataBar>
        <cfvo type="min"/>
        <cfvo type="max"/>
        <color rgb="FF638EC6"/>
      </dataBar>
    </cfRule>
    <cfRule type="dataBar" priority="18">
      <dataBar>
        <cfvo type="min"/>
        <cfvo type="max"/>
        <color rgb="FF638EC6"/>
      </dataBar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{93A737C2-AB4B-45B1-9AC5-65F17E13A750}</x14:id>
        </ext>
      </extLst>
    </cfRule>
  </conditionalFormatting>
  <conditionalFormatting sqref="C83:J90">
    <cfRule type="dataBar" priority="26">
      <dataBar>
        <cfvo type="min"/>
        <cfvo type="max"/>
        <color rgb="FF638EC6"/>
      </dataBar>
    </cfRule>
    <cfRule type="dataBar" priority="25">
      <dataBar>
        <cfvo type="min"/>
        <cfvo type="max"/>
        <color rgb="FF638EC6"/>
      </dataBar>
    </cfRule>
    <cfRule type="cellIs" priority="24" operator="greaterThan">
      <formula>0</formula>
    </cfRule>
    <cfRule type="cellIs" priority="23" operator="greaterThan">
      <formula>$C$9</formula>
    </cfRule>
    <cfRule type="dataBar" priority="22">
      <dataBar>
        <cfvo type="min"/>
        <cfvo type="max"/>
        <color rgb="FF638EC6"/>
      </dataBar>
    </cfRule>
    <cfRule type="dataBar" priority="21">
      <dataBar>
        <cfvo type="min"/>
        <cfvo type="max"/>
        <color rgb="FF638EC6"/>
      </dataBar>
    </cfRule>
    <cfRule type="dataBar" priority="20">
      <dataBar>
        <cfvo type="min"/>
        <cfvo type="max"/>
        <color rgb="FF638EC6"/>
      </dataBar>
    </cfRule>
    <cfRule type="dataBar" priority="30">
      <dataBar>
        <cfvo type="min"/>
        <cfvo type="max"/>
        <color rgb="FF638EC6"/>
      </dataBar>
    </cfRule>
    <cfRule type="dataBar" priority="29">
      <dataBar>
        <cfvo type="min"/>
        <cfvo type="max"/>
        <color rgb="FF638EC6"/>
      </dataBar>
    </cfRule>
    <cfRule type="dataBar" priority="28">
      <dataBar>
        <cfvo type="min"/>
        <cfvo type="max"/>
        <color rgb="FF638EC6"/>
      </dataBar>
    </cfRule>
    <cfRule type="dataBar" priority="27">
      <dataBar>
        <cfvo type="min"/>
        <cfvo type="max"/>
        <color rgb="FF638EC6"/>
      </dataBar>
    </cfRule>
  </conditionalFormatting>
  <conditionalFormatting sqref="C98:J98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{3DB15B58-DA24-4837-BD9D-021355FF8D28}</x14:id>
        </ext>
      </extLst>
    </cfRule>
  </conditionalFormatting>
  <conditionalFormatting sqref="C99:J10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{1213959D-7B10-4157-A722-C0CBED24C32C}</x14:id>
        </ext>
      </extLst>
    </cfRule>
    <cfRule type="dataBar" priority="4">
      <dataBar>
        <cfvo type="min"/>
        <cfvo type="max"/>
        <color rgb="FF638EC6"/>
      </dataBar>
    </cfRule>
    <cfRule type="dataBar" priority="3">
      <dataBar>
        <cfvo type="min"/>
        <cfvo type="max"/>
        <color rgb="FF638EC6"/>
      </dataBar>
    </cfRule>
    <cfRule type="dataBar" priority="2">
      <dataBar>
        <cfvo type="min"/>
        <cfvo type="max"/>
        <color rgb="FF638EC6"/>
      </dataBar>
    </cfRule>
  </conditionalFormatting>
  <conditionalFormatting sqref="C99:J106">
    <cfRule type="dataBar" priority="15">
      <dataBar>
        <cfvo type="min"/>
        <cfvo type="max"/>
        <color rgb="FF638EC6"/>
      </dataBar>
    </cfRule>
    <cfRule type="dataBar" priority="13">
      <dataBar>
        <cfvo type="min"/>
        <cfvo type="max"/>
        <color rgb="FF638EC6"/>
      </dataBar>
    </cfRule>
    <cfRule type="dataBar" priority="12">
      <dataBar>
        <cfvo type="min"/>
        <cfvo type="max"/>
        <color rgb="FF638EC6"/>
      </dataBar>
    </cfRule>
    <cfRule type="dataBar" priority="14">
      <dataBar>
        <cfvo type="min"/>
        <cfvo type="max"/>
        <color rgb="FF638EC6"/>
      </dataBar>
    </cfRule>
    <cfRule type="dataBar" priority="10">
      <dataBar>
        <cfvo type="min"/>
        <cfvo type="max"/>
        <color rgb="FF638EC6"/>
      </dataBar>
    </cfRule>
    <cfRule type="cellIs" priority="9" operator="greaterThan">
      <formula>0</formula>
    </cfRule>
    <cfRule type="cellIs" priority="8" operator="greaterThan">
      <formula>$C$9</formula>
    </cfRule>
    <cfRule type="dataBar" priority="7">
      <dataBar>
        <cfvo type="min"/>
        <cfvo type="max"/>
        <color rgb="FF638EC6"/>
      </dataBar>
    </cfRule>
    <cfRule type="dataBar" priority="11">
      <dataBar>
        <cfvo type="min"/>
        <cfvo type="max"/>
        <color rgb="FF638EC6"/>
      </dataBar>
    </cfRule>
    <cfRule type="dataBar" priority="5">
      <dataBar>
        <cfvo type="min"/>
        <cfvo type="max"/>
        <color rgb="FF638EC6"/>
      </dataBar>
    </cfRule>
    <cfRule type="dataBar" priority="6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9E5B0C-94EC-4805-8F07-2CCF1072088B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C3:J8</xm:sqref>
        </x14:conditionalFormatting>
        <x14:conditionalFormatting xmlns:xm="http://schemas.microsoft.com/office/excel/2006/main">
          <x14:cfRule type="dataBar" id="{D9BCFA40-B09A-45A9-AF9D-E0A07D07F282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C19:J24</xm:sqref>
        </x14:conditionalFormatting>
        <x14:conditionalFormatting xmlns:xm="http://schemas.microsoft.com/office/excel/2006/main">
          <x14:cfRule type="dataBar" id="{6DE32C95-A332-4562-8B50-168F74150D97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C35:J40</xm:sqref>
        </x14:conditionalFormatting>
        <x14:conditionalFormatting xmlns:xm="http://schemas.microsoft.com/office/excel/2006/main">
          <x14:cfRule type="dataBar" id="{C47C2FA6-B5EF-4F1C-BB9C-D1173AFF02E5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C51:J56</xm:sqref>
        </x14:conditionalFormatting>
        <x14:conditionalFormatting xmlns:xm="http://schemas.microsoft.com/office/excel/2006/main">
          <x14:cfRule type="dataBar" id="{BB710703-0555-46DA-8996-13AE0E9334CC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C67:J72</xm:sqref>
        </x14:conditionalFormatting>
        <x14:conditionalFormatting xmlns:xm="http://schemas.microsoft.com/office/excel/2006/main">
          <x14:cfRule type="dataBar" id="{93A737C2-AB4B-45B1-9AC5-65F17E13A750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C83:J88</xm:sqref>
        </x14:conditionalFormatting>
        <x14:conditionalFormatting xmlns:xm="http://schemas.microsoft.com/office/excel/2006/main">
          <x14:cfRule type="dataBar" id="{3DB15B58-DA24-4837-BD9D-021355FF8D28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C98:J98</xm:sqref>
        </x14:conditionalFormatting>
        <x14:conditionalFormatting xmlns:xm="http://schemas.microsoft.com/office/excel/2006/main">
          <x14:cfRule type="dataBar" id="{1213959D-7B10-4157-A722-C0CBED24C32C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C99:J104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I8" sqref="I8"/>
    </sheetView>
  </sheetViews>
  <sheetFormatPr baseColWidth="10" defaultColWidth="11.5703125" defaultRowHeight="15" x14ac:dyDescent="0.25"/>
  <sheetData>
    <row r="1" spans="1:7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 x14ac:dyDescent="0.25">
      <c r="A2" s="1" t="s">
        <v>31</v>
      </c>
      <c r="B2" s="26" t="e">
        <f>TABLAS_INCIDENCIA!$C$28</f>
        <v>#DIV/0!</v>
      </c>
      <c r="C2" s="26" t="e">
        <f>TABLAS_INCIDENCIA!$C$44</f>
        <v>#DIV/0!</v>
      </c>
      <c r="D2" s="26" t="e">
        <f>TABLAS_INCIDENCIA!$C$60</f>
        <v>#DIV/0!</v>
      </c>
      <c r="E2" s="26" t="e">
        <f>TABLAS_INCIDENCIA!$C$76</f>
        <v>#DIV/0!</v>
      </c>
      <c r="F2" s="26" t="e">
        <f>TABLAS_INCIDENCIA!$C$92</f>
        <v>#DIV/0!</v>
      </c>
      <c r="G2" s="26" t="e">
        <f>TABLAS_INCIDENCIA!$C$108</f>
        <v>#DIV/0!</v>
      </c>
    </row>
    <row r="3" spans="1:7" x14ac:dyDescent="0.25">
      <c r="A3" s="1" t="s">
        <v>32</v>
      </c>
      <c r="B3" s="26" t="e">
        <f>TABLAS_INCIDENCIA!$D$28</f>
        <v>#DIV/0!</v>
      </c>
      <c r="C3" s="26" t="e">
        <f>TABLAS_INCIDENCIA!$D$44</f>
        <v>#DIV/0!</v>
      </c>
      <c r="D3" s="26" t="e">
        <f>TABLAS_INCIDENCIA!$D$60</f>
        <v>#DIV/0!</v>
      </c>
      <c r="E3" s="26" t="e">
        <f>TABLAS_INCIDENCIA!$D$76</f>
        <v>#DIV/0!</v>
      </c>
      <c r="F3" s="26" t="e">
        <f>TABLAS_INCIDENCIA!$D$92</f>
        <v>#DIV/0!</v>
      </c>
      <c r="G3" s="26" t="e">
        <f>TABLAS_INCIDENCIA!$D$108</f>
        <v>#DIV/0!</v>
      </c>
    </row>
    <row r="4" spans="1:7" x14ac:dyDescent="0.25">
      <c r="A4" s="1" t="s">
        <v>33</v>
      </c>
      <c r="B4" s="26" t="e">
        <f>TABLAS_INCIDENCIA!$E$28</f>
        <v>#DIV/0!</v>
      </c>
      <c r="C4" s="26" t="e">
        <f>TABLAS_INCIDENCIA!$E$44</f>
        <v>#DIV/0!</v>
      </c>
      <c r="D4" s="26" t="e">
        <f>TABLAS_INCIDENCIA!$E$60</f>
        <v>#DIV/0!</v>
      </c>
      <c r="E4" s="26" t="e">
        <f>TABLAS_INCIDENCIA!$E$76</f>
        <v>#DIV/0!</v>
      </c>
      <c r="F4" s="26" t="e">
        <f>TABLAS_INCIDENCIA!$E$92</f>
        <v>#DIV/0!</v>
      </c>
      <c r="G4" s="26" t="e">
        <f>TABLAS_INCIDENCIA!$E$108</f>
        <v>#DIV/0!</v>
      </c>
    </row>
    <row r="5" spans="1:7" x14ac:dyDescent="0.25">
      <c r="A5" s="1" t="s">
        <v>34</v>
      </c>
      <c r="B5" s="26" t="e">
        <f>TABLAS_INCIDENCIA!$F$28</f>
        <v>#DIV/0!</v>
      </c>
      <c r="C5" s="26" t="e">
        <f>TABLAS_INCIDENCIA!$F$44</f>
        <v>#DIV/0!</v>
      </c>
      <c r="D5" s="26" t="e">
        <f>TABLAS_INCIDENCIA!$F$60</f>
        <v>#DIV/0!</v>
      </c>
      <c r="E5" s="26" t="e">
        <f>TABLAS_INCIDENCIA!$F$76</f>
        <v>#DIV/0!</v>
      </c>
      <c r="F5" s="26" t="e">
        <f>TABLAS_INCIDENCIA!$F$92</f>
        <v>#DIV/0!</v>
      </c>
      <c r="G5" s="26" t="e">
        <f>TABLAS_INCIDENCIA!$F$108</f>
        <v>#DIV/0!</v>
      </c>
    </row>
    <row r="6" spans="1:7" x14ac:dyDescent="0.25">
      <c r="A6" s="1" t="s">
        <v>35</v>
      </c>
      <c r="B6" s="26" t="e">
        <f>TABLAS_INCIDENCIA!G$28</f>
        <v>#DIV/0!</v>
      </c>
      <c r="C6" s="26" t="e">
        <f>TABLAS_INCIDENCIA!$G$44</f>
        <v>#DIV/0!</v>
      </c>
      <c r="D6" s="26" t="e">
        <f>TABLAS_INCIDENCIA!$G$60</f>
        <v>#DIV/0!</v>
      </c>
      <c r="E6" s="26" t="e">
        <f>TABLAS_INCIDENCIA!$G$76</f>
        <v>#DIV/0!</v>
      </c>
      <c r="F6" s="26" t="e">
        <f>TABLAS_INCIDENCIA!$G$92</f>
        <v>#DIV/0!</v>
      </c>
      <c r="G6" s="26" t="e">
        <f>TABLAS_INCIDENCIA!$G$108</f>
        <v>#DIV/0!</v>
      </c>
    </row>
    <row r="7" spans="1:7" x14ac:dyDescent="0.25">
      <c r="A7" s="1" t="s">
        <v>36</v>
      </c>
      <c r="B7" s="26" t="e">
        <f>TABLAS_INCIDENCIA!$H$28</f>
        <v>#DIV/0!</v>
      </c>
      <c r="C7" s="26" t="e">
        <f>TABLAS_INCIDENCIA!$H$44</f>
        <v>#DIV/0!</v>
      </c>
      <c r="D7" s="26" t="e">
        <f>TABLAS_INCIDENCIA!$H$60</f>
        <v>#DIV/0!</v>
      </c>
      <c r="E7" s="26" t="e">
        <f>TABLAS_INCIDENCIA!$H$76</f>
        <v>#DIV/0!</v>
      </c>
      <c r="F7" s="26" t="e">
        <f>TABLAS_INCIDENCIA!$H$92</f>
        <v>#DIV/0!</v>
      </c>
      <c r="G7" s="26" t="e">
        <f>TABLAS_INCIDENCIA!$H$108</f>
        <v>#DIV/0!</v>
      </c>
    </row>
    <row r="8" spans="1:7" x14ac:dyDescent="0.25">
      <c r="A8" s="1" t="s">
        <v>37</v>
      </c>
      <c r="B8" s="26" t="e">
        <f>TABLAS_INCIDENCIA!$I$28</f>
        <v>#DIV/0!</v>
      </c>
      <c r="C8" s="26" t="e">
        <f>TABLAS_INCIDENCIA!$I$44</f>
        <v>#DIV/0!</v>
      </c>
      <c r="D8" s="26" t="e">
        <f>TABLAS_INCIDENCIA!$I$60</f>
        <v>#DIV/0!</v>
      </c>
      <c r="E8" s="26" t="e">
        <f>TABLAS_INCIDENCIA!$I$76</f>
        <v>#DIV/0!</v>
      </c>
      <c r="F8" s="26" t="e">
        <f>TABLAS_INCIDENCIA!$I$92</f>
        <v>#DIV/0!</v>
      </c>
      <c r="G8" s="26" t="e">
        <f>TABLAS_INCIDENCIA!$I$108</f>
        <v>#DIV/0!</v>
      </c>
    </row>
    <row r="9" spans="1:7" x14ac:dyDescent="0.25">
      <c r="A9" s="1" t="s">
        <v>38</v>
      </c>
      <c r="B9" s="26" t="e">
        <f>TABLAS_INCIDENCIA!$J$28</f>
        <v>#DIV/0!</v>
      </c>
      <c r="C9" s="26" t="e">
        <f>TABLAS_INCIDENCIA!$J$44</f>
        <v>#DIV/0!</v>
      </c>
      <c r="D9" s="26" t="e">
        <f>TABLAS_INCIDENCIA!$J$60</f>
        <v>#DIV/0!</v>
      </c>
      <c r="E9" s="26" t="e">
        <f>TABLAS_INCIDENCIA!$J$76</f>
        <v>#DIV/0!</v>
      </c>
      <c r="F9" s="26" t="e">
        <f>TABLAS_INCIDENCIA!$J$92</f>
        <v>#DIV/0!</v>
      </c>
      <c r="G9" s="26" t="e">
        <f>TABLAS_INCIDENCIA!$J$108</f>
        <v>#DIV/0!</v>
      </c>
    </row>
    <row r="10" spans="1:7" x14ac:dyDescent="0.25">
      <c r="A10" s="1" t="s">
        <v>57</v>
      </c>
      <c r="B10" s="27" t="e">
        <f t="shared" ref="B10:G10" si="0">SUM(B2:B9)</f>
        <v>#DIV/0!</v>
      </c>
      <c r="C10" s="27" t="e">
        <f t="shared" si="0"/>
        <v>#DIV/0!</v>
      </c>
      <c r="D10" s="27" t="e">
        <f t="shared" si="0"/>
        <v>#DIV/0!</v>
      </c>
      <c r="E10" s="27" t="e">
        <f t="shared" si="0"/>
        <v>#DIV/0!</v>
      </c>
      <c r="F10" s="27" t="e">
        <f t="shared" si="0"/>
        <v>#DIV/0!</v>
      </c>
      <c r="G10" s="27" t="e">
        <f t="shared" si="0"/>
        <v>#DIV/0!</v>
      </c>
    </row>
  </sheetData>
  <conditionalFormatting sqref="B2:B9">
    <cfRule type="dataBar" priority="15">
      <dataBar>
        <cfvo type="min"/>
        <cfvo type="max"/>
        <color rgb="FF638EC6"/>
      </dataBar>
    </cfRule>
  </conditionalFormatting>
  <conditionalFormatting sqref="B2:G9">
    <cfRule type="dataBar" priority="1">
      <dataBar>
        <cfvo type="min"/>
        <cfvo type="max"/>
        <color rgb="FF638EC6"/>
      </dataBar>
    </cfRule>
    <cfRule type="dataBar" priority="2">
      <dataBar>
        <cfvo type="min"/>
        <cfvo type="max"/>
        <color rgb="FF638EC6"/>
      </dataBar>
    </cfRule>
    <cfRule type="dataBar" priority="3">
      <dataBar>
        <cfvo type="min"/>
        <cfvo type="max"/>
        <color rgb="FF638EC6"/>
      </dataBar>
    </cfRule>
    <cfRule type="dataBar" priority="4">
      <dataBar>
        <cfvo type="min"/>
        <cfvo type="max"/>
        <color rgb="FF638EC6"/>
      </dataBar>
    </cfRule>
  </conditionalFormatting>
  <conditionalFormatting sqref="C2:C9">
    <cfRule type="dataBar" priority="9">
      <dataBar>
        <cfvo type="min"/>
        <cfvo type="max"/>
        <color rgb="FF638EC6"/>
      </dataBar>
    </cfRule>
  </conditionalFormatting>
  <conditionalFormatting sqref="D2:D9">
    <cfRule type="dataBar" priority="8">
      <dataBar>
        <cfvo type="min"/>
        <cfvo type="max"/>
        <color rgb="FF638EC6"/>
      </dataBar>
    </cfRule>
  </conditionalFormatting>
  <conditionalFormatting sqref="E2:E9">
    <cfRule type="dataBar" priority="7">
      <dataBar>
        <cfvo type="min"/>
        <cfvo type="max"/>
        <color rgb="FF638EC6"/>
      </dataBar>
    </cfRule>
  </conditionalFormatting>
  <conditionalFormatting sqref="F2:F9">
    <cfRule type="dataBar" priority="6">
      <dataBar>
        <cfvo type="min"/>
        <cfvo type="max"/>
        <color rgb="FF638EC6"/>
      </dataBar>
    </cfRule>
  </conditionalFormatting>
  <conditionalFormatting sqref="G2:G9">
    <cfRule type="dataBar" priority="5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3"/>
  <sheetViews>
    <sheetView tabSelected="1" workbookViewId="0">
      <selection activeCell="B11" sqref="B11"/>
    </sheetView>
  </sheetViews>
  <sheetFormatPr baseColWidth="10" defaultColWidth="11.42578125" defaultRowHeight="15" x14ac:dyDescent="0.25"/>
  <cols>
    <col min="1" max="1" width="11.7109375" customWidth="1"/>
    <col min="2" max="20" width="8.7109375" customWidth="1"/>
  </cols>
  <sheetData>
    <row r="1" spans="1:20" ht="12" customHeight="1" x14ac:dyDescent="0.25">
      <c r="A1" s="174" t="s">
        <v>5</v>
      </c>
      <c r="B1" s="174" t="s">
        <v>130</v>
      </c>
      <c r="C1" s="174" t="s">
        <v>131</v>
      </c>
      <c r="D1" s="174" t="s">
        <v>132</v>
      </c>
      <c r="E1" s="174" t="s">
        <v>133</v>
      </c>
      <c r="F1" s="174" t="s">
        <v>134</v>
      </c>
      <c r="G1" s="174" t="s">
        <v>135</v>
      </c>
      <c r="H1" s="174" t="s">
        <v>136</v>
      </c>
      <c r="I1" s="174" t="s">
        <v>137</v>
      </c>
      <c r="J1" s="174" t="s">
        <v>138</v>
      </c>
      <c r="K1" s="174" t="s">
        <v>139</v>
      </c>
      <c r="L1" s="174" t="s">
        <v>140</v>
      </c>
      <c r="M1" s="174" t="s">
        <v>141</v>
      </c>
      <c r="N1" s="174" t="s">
        <v>130</v>
      </c>
      <c r="O1" s="174" t="s">
        <v>131</v>
      </c>
      <c r="P1" s="174" t="s">
        <v>132</v>
      </c>
      <c r="Q1" s="174" t="s">
        <v>133</v>
      </c>
      <c r="R1" s="174" t="s">
        <v>134</v>
      </c>
      <c r="S1" s="174" t="s">
        <v>135</v>
      </c>
      <c r="T1" s="174" t="s">
        <v>136</v>
      </c>
    </row>
    <row r="2" spans="1:20" ht="12" customHeight="1" x14ac:dyDescent="0.25">
      <c r="A2" s="175" t="s">
        <v>58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</row>
    <row r="3" spans="1:20" ht="12" customHeight="1" x14ac:dyDescent="0.25">
      <c r="A3" s="175" t="s">
        <v>12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</row>
    <row r="4" spans="1:20" ht="12" customHeight="1" x14ac:dyDescent="0.25">
      <c r="A4" s="175" t="s">
        <v>13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</row>
    <row r="5" spans="1:20" ht="12" customHeight="1" x14ac:dyDescent="0.25">
      <c r="A5" s="175" t="s">
        <v>14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</row>
    <row r="6" spans="1:20" ht="12" customHeight="1" x14ac:dyDescent="0.25">
      <c r="A6" s="175" t="s">
        <v>15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</row>
    <row r="7" spans="1:20" ht="12" customHeight="1" x14ac:dyDescent="0.25">
      <c r="A7" s="175" t="s">
        <v>59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</row>
    <row r="8" spans="1:20" ht="12" customHeight="1" x14ac:dyDescent="0.25">
      <c r="A8" s="175" t="s">
        <v>60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</row>
    <row r="9" spans="1:20" ht="12" customHeight="1" x14ac:dyDescent="0.25">
      <c r="A9" s="175" t="s">
        <v>19</v>
      </c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</row>
    <row r="10" spans="1:20" ht="12" customHeight="1" x14ac:dyDescent="0.25"/>
    <row r="11" spans="1:20" ht="12" customHeight="1" x14ac:dyDescent="0.25">
      <c r="A11" s="142"/>
      <c r="B11" s="177" t="s">
        <v>11</v>
      </c>
      <c r="C11" s="177" t="s">
        <v>12</v>
      </c>
      <c r="D11" s="177" t="s">
        <v>13</v>
      </c>
      <c r="E11" s="177" t="s">
        <v>14</v>
      </c>
      <c r="F11" s="177" t="s">
        <v>15</v>
      </c>
      <c r="G11" s="177" t="s">
        <v>142</v>
      </c>
      <c r="H11" s="177" t="s">
        <v>60</v>
      </c>
      <c r="I11" s="177" t="s">
        <v>19</v>
      </c>
    </row>
    <row r="12" spans="1:20" ht="12" customHeight="1" x14ac:dyDescent="0.25">
      <c r="A12" s="177" t="str">
        <f>B1</f>
        <v>NOV</v>
      </c>
      <c r="B12" s="178">
        <f>B2</f>
        <v>0</v>
      </c>
      <c r="C12" s="179">
        <f>B3</f>
        <v>0</v>
      </c>
      <c r="D12" s="179">
        <f>B4</f>
        <v>0</v>
      </c>
      <c r="E12" s="179">
        <f>B5</f>
        <v>0</v>
      </c>
      <c r="F12" s="179">
        <f>B6</f>
        <v>0</v>
      </c>
      <c r="G12" s="179">
        <f>B7</f>
        <v>0</v>
      </c>
      <c r="H12" s="179">
        <f>B8</f>
        <v>0</v>
      </c>
      <c r="I12" s="179">
        <f>B9</f>
        <v>0</v>
      </c>
      <c r="M12" s="180"/>
    </row>
    <row r="13" spans="1:20" ht="12" customHeight="1" x14ac:dyDescent="0.25">
      <c r="A13" s="177" t="str">
        <f>C1</f>
        <v>DIC</v>
      </c>
      <c r="B13" s="178">
        <f>C2</f>
        <v>0</v>
      </c>
      <c r="C13" s="179">
        <f>C3</f>
        <v>0</v>
      </c>
      <c r="D13" s="179">
        <f>C4</f>
        <v>0</v>
      </c>
      <c r="E13" s="179">
        <f>C5</f>
        <v>0</v>
      </c>
      <c r="F13" s="179">
        <f>C6</f>
        <v>0</v>
      </c>
      <c r="G13" s="179">
        <f>C7</f>
        <v>0</v>
      </c>
      <c r="H13" s="179">
        <f>C8</f>
        <v>0</v>
      </c>
      <c r="I13" s="179">
        <f>C9</f>
        <v>0</v>
      </c>
      <c r="M13" s="180"/>
    </row>
    <row r="14" spans="1:20" ht="12" customHeight="1" x14ac:dyDescent="0.25">
      <c r="A14" s="177" t="str">
        <f>D1</f>
        <v>ENE</v>
      </c>
      <c r="B14" s="178">
        <f>D2</f>
        <v>0</v>
      </c>
      <c r="C14" s="179">
        <f>D3</f>
        <v>0</v>
      </c>
      <c r="D14" s="179">
        <f>D4</f>
        <v>0</v>
      </c>
      <c r="E14" s="179">
        <f>D5</f>
        <v>0</v>
      </c>
      <c r="F14" s="179">
        <f>D6</f>
        <v>0</v>
      </c>
      <c r="G14" s="179">
        <f>D7</f>
        <v>0</v>
      </c>
      <c r="H14" s="179">
        <f>D8</f>
        <v>0</v>
      </c>
      <c r="I14" s="179">
        <f>D9</f>
        <v>0</v>
      </c>
      <c r="M14" s="180"/>
    </row>
    <row r="15" spans="1:20" ht="12" customHeight="1" x14ac:dyDescent="0.25">
      <c r="A15" s="177" t="str">
        <f>E1</f>
        <v>FEB</v>
      </c>
      <c r="B15" s="178">
        <f>E2</f>
        <v>0</v>
      </c>
      <c r="C15" s="179">
        <f>E3</f>
        <v>0</v>
      </c>
      <c r="D15" s="179">
        <f>E4</f>
        <v>0</v>
      </c>
      <c r="E15" s="179">
        <f>E5</f>
        <v>0</v>
      </c>
      <c r="F15" s="179">
        <f>E6</f>
        <v>0</v>
      </c>
      <c r="G15" s="179">
        <f>E7</f>
        <v>0</v>
      </c>
      <c r="H15" s="179">
        <f>E8</f>
        <v>0</v>
      </c>
      <c r="I15" s="179">
        <f>E9</f>
        <v>0</v>
      </c>
      <c r="M15" s="180"/>
    </row>
    <row r="16" spans="1:20" ht="12" customHeight="1" x14ac:dyDescent="0.25">
      <c r="A16" s="177" t="str">
        <f>F1</f>
        <v>MAR</v>
      </c>
      <c r="B16" s="178">
        <f>F2</f>
        <v>0</v>
      </c>
      <c r="C16" s="179">
        <f>F3</f>
        <v>0</v>
      </c>
      <c r="D16" s="179">
        <f>F4</f>
        <v>0</v>
      </c>
      <c r="E16" s="179">
        <f>F5</f>
        <v>0</v>
      </c>
      <c r="F16" s="179">
        <f>F6</f>
        <v>0</v>
      </c>
      <c r="G16" s="179">
        <f>F7</f>
        <v>0</v>
      </c>
      <c r="H16" s="179">
        <f>F8</f>
        <v>0</v>
      </c>
      <c r="I16" s="179">
        <f>F9</f>
        <v>0</v>
      </c>
      <c r="M16" s="180"/>
    </row>
    <row r="17" spans="1:13" ht="12" customHeight="1" x14ac:dyDescent="0.25">
      <c r="A17" s="177" t="str">
        <f>G1</f>
        <v>ABR</v>
      </c>
      <c r="B17" s="178">
        <f>G2</f>
        <v>0</v>
      </c>
      <c r="C17" s="179">
        <f>G3</f>
        <v>0</v>
      </c>
      <c r="D17" s="179">
        <f>G4</f>
        <v>0</v>
      </c>
      <c r="E17" s="179">
        <f>G5</f>
        <v>0</v>
      </c>
      <c r="F17" s="179">
        <f>G6</f>
        <v>0</v>
      </c>
      <c r="G17" s="179">
        <f>G7</f>
        <v>0</v>
      </c>
      <c r="H17" s="179">
        <f>G8</f>
        <v>0</v>
      </c>
      <c r="I17" s="179">
        <f>G9</f>
        <v>0</v>
      </c>
      <c r="M17" s="180"/>
    </row>
    <row r="18" spans="1:13" ht="12" customHeight="1" x14ac:dyDescent="0.25">
      <c r="A18" s="177" t="str">
        <f>H1</f>
        <v>MAY</v>
      </c>
      <c r="B18" s="178">
        <f>H2</f>
        <v>0</v>
      </c>
      <c r="C18" s="179">
        <f>H3</f>
        <v>0</v>
      </c>
      <c r="D18" s="179">
        <f>H4</f>
        <v>0</v>
      </c>
      <c r="E18" s="179">
        <f>H5</f>
        <v>0</v>
      </c>
      <c r="F18" s="179">
        <f>H6</f>
        <v>0</v>
      </c>
      <c r="G18" s="179">
        <f>H7</f>
        <v>0</v>
      </c>
      <c r="H18" s="179">
        <f>H8</f>
        <v>0</v>
      </c>
      <c r="I18" s="179">
        <f>H9</f>
        <v>0</v>
      </c>
      <c r="M18" s="180"/>
    </row>
    <row r="19" spans="1:13" ht="12" customHeight="1" x14ac:dyDescent="0.25">
      <c r="A19" s="177" t="str">
        <f>I1</f>
        <v>JUN</v>
      </c>
      <c r="B19" s="178">
        <f>I2</f>
        <v>0</v>
      </c>
      <c r="C19" s="179">
        <f>I3</f>
        <v>0</v>
      </c>
      <c r="D19" s="179">
        <f>I4</f>
        <v>0</v>
      </c>
      <c r="E19" s="179">
        <f>I5</f>
        <v>0</v>
      </c>
      <c r="F19" s="179">
        <f>I6</f>
        <v>0</v>
      </c>
      <c r="G19" s="179">
        <f>I7</f>
        <v>0</v>
      </c>
      <c r="H19" s="179">
        <f>I8</f>
        <v>0</v>
      </c>
      <c r="I19" s="179">
        <f>I9</f>
        <v>0</v>
      </c>
      <c r="M19" s="180"/>
    </row>
    <row r="20" spans="1:13" ht="12" customHeight="1" x14ac:dyDescent="0.25">
      <c r="A20" s="177" t="str">
        <f>J1</f>
        <v>JUL</v>
      </c>
      <c r="B20" s="178">
        <f>J2</f>
        <v>0</v>
      </c>
      <c r="C20" s="179">
        <f>J3</f>
        <v>0</v>
      </c>
      <c r="D20" s="179">
        <f>J4</f>
        <v>0</v>
      </c>
      <c r="E20" s="179">
        <f>J5</f>
        <v>0</v>
      </c>
      <c r="F20" s="179">
        <f>J6</f>
        <v>0</v>
      </c>
      <c r="G20" s="179">
        <f>J7</f>
        <v>0</v>
      </c>
      <c r="H20" s="179">
        <f>J8</f>
        <v>0</v>
      </c>
      <c r="I20" s="179">
        <f>J9</f>
        <v>0</v>
      </c>
      <c r="M20" s="180"/>
    </row>
    <row r="21" spans="1:13" ht="12" customHeight="1" x14ac:dyDescent="0.25">
      <c r="A21" s="177" t="str">
        <f>K1</f>
        <v>AGO</v>
      </c>
      <c r="B21" s="178">
        <f>K2</f>
        <v>0</v>
      </c>
      <c r="C21" s="179">
        <f>K3</f>
        <v>0</v>
      </c>
      <c r="D21" s="179">
        <f>K4</f>
        <v>0</v>
      </c>
      <c r="E21" s="179">
        <f>K5</f>
        <v>0</v>
      </c>
      <c r="F21" s="179">
        <f>K6</f>
        <v>0</v>
      </c>
      <c r="G21" s="179">
        <f>K7</f>
        <v>0</v>
      </c>
      <c r="H21" s="179">
        <f>K8</f>
        <v>0</v>
      </c>
      <c r="I21" s="179">
        <f>K9</f>
        <v>0</v>
      </c>
      <c r="M21" s="180"/>
    </row>
    <row r="22" spans="1:13" ht="12" customHeight="1" x14ac:dyDescent="0.25">
      <c r="A22" s="177" t="str">
        <f>L1</f>
        <v>SEP</v>
      </c>
      <c r="B22" s="178">
        <f>L2</f>
        <v>0</v>
      </c>
      <c r="C22" s="179">
        <f>L3</f>
        <v>0</v>
      </c>
      <c r="D22" s="181">
        <f>L4</f>
        <v>0</v>
      </c>
      <c r="E22" s="181">
        <f>L5</f>
        <v>0</v>
      </c>
      <c r="F22" s="181">
        <f>L6</f>
        <v>0</v>
      </c>
      <c r="G22" s="181">
        <f>L7</f>
        <v>0</v>
      </c>
      <c r="H22" s="181">
        <f>L8</f>
        <v>0</v>
      </c>
      <c r="I22" s="181">
        <f>L9</f>
        <v>0</v>
      </c>
      <c r="M22" s="180"/>
    </row>
    <row r="23" spans="1:13" ht="12" customHeight="1" x14ac:dyDescent="0.25">
      <c r="A23" s="177" t="str">
        <f>M1</f>
        <v>OCT</v>
      </c>
      <c r="B23" s="178">
        <f>M2</f>
        <v>0</v>
      </c>
      <c r="C23" s="179">
        <f>M3</f>
        <v>0</v>
      </c>
      <c r="D23" s="181">
        <f>M4</f>
        <v>0</v>
      </c>
      <c r="E23" s="181">
        <f>M5</f>
        <v>0</v>
      </c>
      <c r="F23" s="181">
        <f>M6</f>
        <v>0</v>
      </c>
      <c r="G23" s="181">
        <f>M7</f>
        <v>0</v>
      </c>
      <c r="H23" s="181">
        <f>M8</f>
        <v>0</v>
      </c>
      <c r="I23" s="181">
        <f>M9</f>
        <v>0</v>
      </c>
      <c r="M23" s="180"/>
    </row>
    <row r="24" spans="1:13" ht="12" customHeight="1" x14ac:dyDescent="0.25">
      <c r="A24" s="177" t="str">
        <f>N1</f>
        <v>NOV</v>
      </c>
      <c r="B24" s="178">
        <f>N2</f>
        <v>0</v>
      </c>
      <c r="C24" s="179">
        <f>N3</f>
        <v>0</v>
      </c>
      <c r="D24" s="181">
        <f>N4</f>
        <v>0</v>
      </c>
      <c r="E24" s="181">
        <f>N5</f>
        <v>0</v>
      </c>
      <c r="F24" s="181">
        <f>N6</f>
        <v>0</v>
      </c>
      <c r="G24" s="181">
        <f>N7</f>
        <v>0</v>
      </c>
      <c r="H24" s="181">
        <f>N8</f>
        <v>0</v>
      </c>
      <c r="I24" s="181">
        <f>N9</f>
        <v>0</v>
      </c>
      <c r="M24" s="180"/>
    </row>
    <row r="25" spans="1:13" ht="12" customHeight="1" x14ac:dyDescent="0.25">
      <c r="A25" s="177" t="str">
        <f>O1</f>
        <v>DIC</v>
      </c>
      <c r="B25" s="178">
        <f>O2</f>
        <v>0</v>
      </c>
      <c r="C25" s="179">
        <f>O3</f>
        <v>0</v>
      </c>
      <c r="D25" s="181">
        <f>O4</f>
        <v>0</v>
      </c>
      <c r="E25" s="181">
        <f>O5</f>
        <v>0</v>
      </c>
      <c r="F25" s="181">
        <f>O6</f>
        <v>0</v>
      </c>
      <c r="G25" s="181">
        <f>O7</f>
        <v>0</v>
      </c>
      <c r="H25" s="181">
        <f>O8</f>
        <v>0</v>
      </c>
      <c r="I25" s="181">
        <f>O9</f>
        <v>0</v>
      </c>
      <c r="M25" s="180"/>
    </row>
    <row r="26" spans="1:13" ht="12" customHeight="1" x14ac:dyDescent="0.25">
      <c r="A26" s="177" t="str">
        <f>P1</f>
        <v>ENE</v>
      </c>
      <c r="B26" s="178">
        <f>P2</f>
        <v>0</v>
      </c>
      <c r="C26" s="179">
        <f>P3</f>
        <v>0</v>
      </c>
      <c r="D26" s="181">
        <f>P4</f>
        <v>0</v>
      </c>
      <c r="E26" s="181">
        <f>P5</f>
        <v>0</v>
      </c>
      <c r="F26" s="181">
        <f>P6</f>
        <v>0</v>
      </c>
      <c r="G26" s="181">
        <f>P7</f>
        <v>0</v>
      </c>
      <c r="H26" s="181">
        <f>P8</f>
        <v>0</v>
      </c>
      <c r="I26" s="181">
        <f>P9</f>
        <v>0</v>
      </c>
      <c r="M26" s="180"/>
    </row>
    <row r="27" spans="1:13" ht="12" customHeight="1" x14ac:dyDescent="0.25">
      <c r="A27" s="177" t="str">
        <f>Q1</f>
        <v>FEB</v>
      </c>
      <c r="B27" s="178">
        <f>Q2</f>
        <v>0</v>
      </c>
      <c r="C27" s="179">
        <f>Q3</f>
        <v>0</v>
      </c>
      <c r="D27" s="181">
        <f>Q4</f>
        <v>0</v>
      </c>
      <c r="E27" s="181">
        <f>Q5</f>
        <v>0</v>
      </c>
      <c r="F27" s="181">
        <f>Q6</f>
        <v>0</v>
      </c>
      <c r="G27" s="181">
        <f>Q7</f>
        <v>0</v>
      </c>
      <c r="H27" s="181">
        <f>Q8</f>
        <v>0</v>
      </c>
      <c r="I27" s="181">
        <f>Q9</f>
        <v>0</v>
      </c>
      <c r="M27" s="180"/>
    </row>
    <row r="28" spans="1:13" ht="12" customHeight="1" x14ac:dyDescent="0.25">
      <c r="A28" s="177" t="str">
        <f>R1</f>
        <v>MAR</v>
      </c>
      <c r="B28" s="178">
        <f>R2</f>
        <v>0</v>
      </c>
      <c r="C28" s="179">
        <f>R3</f>
        <v>0</v>
      </c>
      <c r="D28" s="181">
        <f>R4</f>
        <v>0</v>
      </c>
      <c r="E28" s="181">
        <f>R5</f>
        <v>0</v>
      </c>
      <c r="F28" s="181">
        <f>R6</f>
        <v>0</v>
      </c>
      <c r="G28" s="181">
        <f>R7</f>
        <v>0</v>
      </c>
      <c r="H28" s="181">
        <f>R8</f>
        <v>0</v>
      </c>
      <c r="I28" s="181">
        <f>R9</f>
        <v>0</v>
      </c>
      <c r="M28" s="180"/>
    </row>
    <row r="29" spans="1:13" ht="12" customHeight="1" x14ac:dyDescent="0.25">
      <c r="A29" s="177" t="str">
        <f>S1</f>
        <v>ABR</v>
      </c>
      <c r="B29" s="178">
        <f>S2</f>
        <v>0</v>
      </c>
      <c r="C29" s="179">
        <f>S3</f>
        <v>0</v>
      </c>
      <c r="D29" s="181">
        <f>S4</f>
        <v>0</v>
      </c>
      <c r="E29" s="181">
        <f>S5</f>
        <v>0</v>
      </c>
      <c r="F29" s="181">
        <f>S6</f>
        <v>0</v>
      </c>
      <c r="G29" s="181">
        <f>S7</f>
        <v>0</v>
      </c>
      <c r="H29" s="181">
        <f>S8</f>
        <v>0</v>
      </c>
      <c r="I29" s="181">
        <f>S9</f>
        <v>0</v>
      </c>
      <c r="M29" s="180"/>
    </row>
    <row r="30" spans="1:13" ht="12" customHeight="1" x14ac:dyDescent="0.25">
      <c r="A30" s="177" t="str">
        <f>T1</f>
        <v>MAY</v>
      </c>
      <c r="B30" s="178">
        <f>T2</f>
        <v>0</v>
      </c>
      <c r="C30" s="179">
        <f>T3</f>
        <v>0</v>
      </c>
      <c r="D30" s="181">
        <f>T4</f>
        <v>0</v>
      </c>
      <c r="E30" s="181">
        <f>T5</f>
        <v>0</v>
      </c>
      <c r="F30" s="181">
        <f>T6</f>
        <v>0</v>
      </c>
      <c r="G30" s="181">
        <f>T7</f>
        <v>0</v>
      </c>
      <c r="H30" s="181">
        <f>T8</f>
        <v>0</v>
      </c>
      <c r="I30" s="181">
        <f>T9</f>
        <v>0</v>
      </c>
      <c r="M30" s="180"/>
    </row>
    <row r="33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7"/>
  <sheetViews>
    <sheetView workbookViewId="0">
      <selection activeCell="P9" sqref="P9"/>
    </sheetView>
  </sheetViews>
  <sheetFormatPr baseColWidth="10" defaultColWidth="11.42578125" defaultRowHeight="15" x14ac:dyDescent="0.25"/>
  <cols>
    <col min="1" max="1" width="6.85546875" style="142" customWidth="1"/>
    <col min="2" max="2" width="16" customWidth="1"/>
    <col min="3" max="10" width="5.7109375" customWidth="1"/>
    <col min="11" max="11" width="10.7109375" customWidth="1"/>
    <col min="12" max="12" width="13.28515625" customWidth="1"/>
  </cols>
  <sheetData>
    <row r="1" spans="1:15" ht="18" customHeight="1" x14ac:dyDescent="0.25">
      <c r="A1" s="203"/>
      <c r="B1" s="204"/>
      <c r="C1" s="207" t="s">
        <v>27</v>
      </c>
      <c r="D1" s="208"/>
      <c r="E1" s="208"/>
      <c r="F1" s="208"/>
      <c r="G1" s="208"/>
      <c r="H1" s="208"/>
      <c r="I1" s="208"/>
      <c r="J1" s="209"/>
      <c r="K1" s="210" t="s">
        <v>28</v>
      </c>
      <c r="L1" s="210" t="s">
        <v>29</v>
      </c>
    </row>
    <row r="2" spans="1:15" ht="18" customHeight="1" thickBot="1" x14ac:dyDescent="0.3">
      <c r="A2" s="205"/>
      <c r="B2" s="206"/>
      <c r="C2" s="38" t="s">
        <v>31</v>
      </c>
      <c r="D2" s="39" t="s">
        <v>32</v>
      </c>
      <c r="E2" s="39" t="s">
        <v>33</v>
      </c>
      <c r="F2" s="39" t="s">
        <v>34</v>
      </c>
      <c r="G2" s="39" t="s">
        <v>35</v>
      </c>
      <c r="H2" s="39" t="s">
        <v>36</v>
      </c>
      <c r="I2" s="39" t="s">
        <v>37</v>
      </c>
      <c r="J2" s="40" t="s">
        <v>38</v>
      </c>
      <c r="K2" s="211"/>
      <c r="L2" s="211"/>
    </row>
    <row r="3" spans="1:15" ht="18" customHeight="1" thickBot="1" x14ac:dyDescent="0.3">
      <c r="A3" s="212" t="s">
        <v>39</v>
      </c>
      <c r="B3" s="21"/>
      <c r="C3" s="2"/>
      <c r="D3" s="3"/>
      <c r="E3" s="3"/>
      <c r="F3" s="3"/>
      <c r="G3" s="3"/>
      <c r="H3" s="3"/>
      <c r="I3" s="3"/>
      <c r="J3" s="24"/>
      <c r="K3" s="29">
        <f t="shared" ref="K3:K10" si="0">SUM(C3:J3)</f>
        <v>0</v>
      </c>
      <c r="L3" s="4" t="e">
        <f t="shared" ref="L3:L10" si="1">SUM(C3:J3)/$K$11</f>
        <v>#DIV/0!</v>
      </c>
    </row>
    <row r="4" spans="1:15" ht="18" customHeight="1" x14ac:dyDescent="0.25">
      <c r="A4" s="213"/>
      <c r="B4" s="43"/>
      <c r="C4" s="5"/>
      <c r="D4" s="6"/>
      <c r="E4" s="6"/>
      <c r="F4" s="6"/>
      <c r="G4" s="6"/>
      <c r="H4" s="6"/>
      <c r="I4" s="6"/>
      <c r="J4" s="25"/>
      <c r="K4" s="30">
        <f t="shared" si="0"/>
        <v>0</v>
      </c>
      <c r="L4" s="19" t="e">
        <f t="shared" si="1"/>
        <v>#DIV/0!</v>
      </c>
      <c r="N4" s="218" t="s">
        <v>61</v>
      </c>
      <c r="O4" s="219"/>
    </row>
    <row r="5" spans="1:15" ht="18" customHeight="1" x14ac:dyDescent="0.25">
      <c r="A5" s="213"/>
      <c r="B5" s="43"/>
      <c r="C5" s="5"/>
      <c r="D5" s="6"/>
      <c r="E5" s="6"/>
      <c r="F5" s="6"/>
      <c r="G5" s="6"/>
      <c r="H5" s="6"/>
      <c r="I5" s="6"/>
      <c r="J5" s="25"/>
      <c r="K5" s="30">
        <f t="shared" si="0"/>
        <v>0</v>
      </c>
      <c r="L5" s="19" t="e">
        <f t="shared" si="1"/>
        <v>#DIV/0!</v>
      </c>
      <c r="N5" s="220"/>
      <c r="O5" s="206"/>
    </row>
    <row r="6" spans="1:15" ht="18" customHeight="1" x14ac:dyDescent="0.25">
      <c r="A6" s="213"/>
      <c r="B6" s="43"/>
      <c r="C6" s="5"/>
      <c r="D6" s="6"/>
      <c r="E6" s="6"/>
      <c r="F6" s="6"/>
      <c r="G6" s="6"/>
      <c r="H6" s="6"/>
      <c r="I6" s="6"/>
      <c r="J6" s="25"/>
      <c r="K6" s="30">
        <f t="shared" si="0"/>
        <v>0</v>
      </c>
      <c r="L6" s="19" t="e">
        <f t="shared" si="1"/>
        <v>#DIV/0!</v>
      </c>
    </row>
    <row r="7" spans="1:15" ht="18" customHeight="1" x14ac:dyDescent="0.25">
      <c r="A7" s="213"/>
      <c r="B7" s="43"/>
      <c r="C7" s="5"/>
      <c r="D7" s="6"/>
      <c r="E7" s="6"/>
      <c r="F7" s="6"/>
      <c r="G7" s="6"/>
      <c r="H7" s="6"/>
      <c r="I7" s="6"/>
      <c r="J7" s="25"/>
      <c r="K7" s="30">
        <f t="shared" si="0"/>
        <v>0</v>
      </c>
      <c r="L7" s="19" t="e">
        <f t="shared" si="1"/>
        <v>#DIV/0!</v>
      </c>
    </row>
    <row r="8" spans="1:15" ht="18" customHeight="1" x14ac:dyDescent="0.25">
      <c r="A8" s="213"/>
      <c r="B8" s="43"/>
      <c r="C8" s="5"/>
      <c r="D8" s="6"/>
      <c r="E8" s="6"/>
      <c r="F8" s="6"/>
      <c r="G8" s="6"/>
      <c r="H8" s="6"/>
      <c r="I8" s="6"/>
      <c r="J8" s="25"/>
      <c r="K8" s="30">
        <f t="shared" si="0"/>
        <v>0</v>
      </c>
      <c r="L8" s="19" t="e">
        <f t="shared" si="1"/>
        <v>#DIV/0!</v>
      </c>
    </row>
    <row r="9" spans="1:15" ht="18" customHeight="1" x14ac:dyDescent="0.25">
      <c r="A9" s="213"/>
      <c r="B9" s="43"/>
      <c r="C9" s="5"/>
      <c r="D9" s="42"/>
      <c r="E9" s="42"/>
      <c r="F9" s="42"/>
      <c r="G9" s="42"/>
      <c r="H9" s="42"/>
      <c r="I9" s="42"/>
      <c r="J9" s="67"/>
      <c r="K9" s="30">
        <f t="shared" si="0"/>
        <v>0</v>
      </c>
      <c r="L9" s="19" t="e">
        <f t="shared" si="1"/>
        <v>#DIV/0!</v>
      </c>
    </row>
    <row r="10" spans="1:15" ht="18" customHeight="1" thickBot="1" x14ac:dyDescent="0.3">
      <c r="A10" s="214"/>
      <c r="B10" s="44"/>
      <c r="C10" s="45"/>
      <c r="D10" s="68"/>
      <c r="E10" s="68"/>
      <c r="F10" s="68"/>
      <c r="G10" s="68"/>
      <c r="H10" s="68"/>
      <c r="I10" s="68"/>
      <c r="J10" s="69"/>
      <c r="K10" s="30">
        <f t="shared" si="0"/>
        <v>0</v>
      </c>
      <c r="L10" s="20" t="e">
        <f t="shared" si="1"/>
        <v>#DIV/0!</v>
      </c>
    </row>
    <row r="11" spans="1:15" ht="18" customHeight="1" thickBot="1" x14ac:dyDescent="0.3">
      <c r="A11" s="207" t="s">
        <v>28</v>
      </c>
      <c r="B11" s="209"/>
      <c r="C11" s="18">
        <f t="shared" ref="C11:J11" si="2">SUM(C3:C10)</f>
        <v>0</v>
      </c>
      <c r="D11" s="32">
        <f t="shared" si="2"/>
        <v>0</v>
      </c>
      <c r="E11" s="32">
        <f t="shared" si="2"/>
        <v>0</v>
      </c>
      <c r="F11" s="32">
        <f t="shared" si="2"/>
        <v>0</v>
      </c>
      <c r="G11" s="32">
        <f t="shared" si="2"/>
        <v>0</v>
      </c>
      <c r="H11" s="32">
        <f t="shared" si="2"/>
        <v>0</v>
      </c>
      <c r="I11" s="32">
        <f t="shared" si="2"/>
        <v>0</v>
      </c>
      <c r="J11" s="33">
        <f t="shared" si="2"/>
        <v>0</v>
      </c>
      <c r="K11" s="31">
        <f t="shared" ref="K11:L11" si="3">SUM(K3:K10)</f>
        <v>0</v>
      </c>
      <c r="L11" s="17" t="e">
        <f t="shared" si="3"/>
        <v>#DIV/0!</v>
      </c>
    </row>
    <row r="12" spans="1:15" ht="18" customHeight="1" thickBot="1" x14ac:dyDescent="0.3">
      <c r="A12" s="192" t="s">
        <v>29</v>
      </c>
      <c r="B12" s="219"/>
      <c r="C12" s="70" t="e">
        <f t="shared" ref="C12:J12" si="4">C11/$K$11</f>
        <v>#DIV/0!</v>
      </c>
      <c r="D12" s="71" t="e">
        <f t="shared" si="4"/>
        <v>#DIV/0!</v>
      </c>
      <c r="E12" s="71" t="e">
        <f t="shared" si="4"/>
        <v>#DIV/0!</v>
      </c>
      <c r="F12" s="71" t="e">
        <f t="shared" si="4"/>
        <v>#DIV/0!</v>
      </c>
      <c r="G12" s="71" t="e">
        <f t="shared" si="4"/>
        <v>#DIV/0!</v>
      </c>
      <c r="H12" s="71" t="e">
        <f t="shared" si="4"/>
        <v>#DIV/0!</v>
      </c>
      <c r="I12" s="71" t="e">
        <f t="shared" si="4"/>
        <v>#DIV/0!</v>
      </c>
      <c r="J12" s="72" t="e">
        <f t="shared" si="4"/>
        <v>#DIV/0!</v>
      </c>
      <c r="K12" s="56" t="e">
        <f>SUM(C12:J12)</f>
        <v>#DIV/0!</v>
      </c>
      <c r="L12" s="7"/>
    </row>
    <row r="13" spans="1:15" ht="18" customHeight="1" thickBot="1" x14ac:dyDescent="0.3">
      <c r="A13" s="194" t="s">
        <v>41</v>
      </c>
      <c r="B13" s="8" t="s">
        <v>42</v>
      </c>
      <c r="C13" s="57"/>
      <c r="D13" s="58"/>
      <c r="E13" s="58"/>
      <c r="F13" s="58"/>
      <c r="G13" s="58"/>
      <c r="H13" s="58"/>
      <c r="I13" s="58"/>
      <c r="J13" s="59"/>
      <c r="K13" s="215"/>
      <c r="L13" s="198"/>
    </row>
    <row r="14" spans="1:15" ht="18" customHeight="1" x14ac:dyDescent="0.25">
      <c r="A14" s="195"/>
      <c r="B14" s="9" t="s">
        <v>14</v>
      </c>
      <c r="C14" s="10"/>
      <c r="D14" s="11"/>
      <c r="E14" s="11"/>
      <c r="F14" s="11"/>
      <c r="G14" s="11"/>
      <c r="H14" s="11"/>
      <c r="I14" s="11"/>
      <c r="J14" s="12"/>
      <c r="K14" s="216"/>
      <c r="L14" s="200"/>
    </row>
    <row r="15" spans="1:15" ht="18" customHeight="1" thickBot="1" x14ac:dyDescent="0.3">
      <c r="A15" s="196"/>
      <c r="B15" s="13" t="s">
        <v>43</v>
      </c>
      <c r="C15" s="14"/>
      <c r="D15" s="15"/>
      <c r="E15" s="15"/>
      <c r="F15" s="15"/>
      <c r="G15" s="15"/>
      <c r="H15" s="15"/>
      <c r="I15" s="15"/>
      <c r="J15" s="16"/>
      <c r="K15" s="217"/>
      <c r="L15" s="202"/>
    </row>
    <row r="16" spans="1:15" ht="18" customHeight="1" thickBot="1" x14ac:dyDescent="0.3"/>
    <row r="17" spans="1:15" ht="18" customHeight="1" x14ac:dyDescent="0.25">
      <c r="A17" s="203"/>
      <c r="B17" s="204"/>
      <c r="C17" s="207" t="s">
        <v>27</v>
      </c>
      <c r="D17" s="208"/>
      <c r="E17" s="208"/>
      <c r="F17" s="208"/>
      <c r="G17" s="208"/>
      <c r="H17" s="208"/>
      <c r="I17" s="208"/>
      <c r="J17" s="209"/>
      <c r="K17" s="227" t="s">
        <v>28</v>
      </c>
      <c r="L17" s="210" t="s">
        <v>29</v>
      </c>
    </row>
    <row r="18" spans="1:15" ht="18" customHeight="1" thickBot="1" x14ac:dyDescent="0.3">
      <c r="A18" s="205"/>
      <c r="B18" s="206"/>
      <c r="C18" s="49" t="s">
        <v>31</v>
      </c>
      <c r="D18" s="1" t="s">
        <v>32</v>
      </c>
      <c r="E18" s="1" t="s">
        <v>33</v>
      </c>
      <c r="F18" s="1" t="s">
        <v>34</v>
      </c>
      <c r="G18" s="1" t="s">
        <v>35</v>
      </c>
      <c r="H18" s="1" t="s">
        <v>36</v>
      </c>
      <c r="I18" s="1" t="s">
        <v>37</v>
      </c>
      <c r="J18" s="50" t="s">
        <v>38</v>
      </c>
      <c r="K18" s="229"/>
      <c r="L18" s="211"/>
    </row>
    <row r="19" spans="1:15" ht="18" customHeight="1" thickBot="1" x14ac:dyDescent="0.3">
      <c r="A19" s="212" t="s">
        <v>39</v>
      </c>
      <c r="B19" s="73">
        <f>B$3</f>
        <v>0</v>
      </c>
      <c r="C19" s="2"/>
      <c r="D19" s="3"/>
      <c r="E19" s="3"/>
      <c r="F19" s="3"/>
      <c r="G19" s="3"/>
      <c r="H19" s="3"/>
      <c r="I19" s="3"/>
      <c r="J19" s="24"/>
      <c r="K19" s="51">
        <f t="shared" ref="K19:K26" si="5">SUM(C19:J19)</f>
        <v>0</v>
      </c>
      <c r="L19" s="4" t="e">
        <f t="shared" ref="L19:L26" si="6">SUM(C19:J19)/$K$27</f>
        <v>#DIV/0!</v>
      </c>
    </row>
    <row r="20" spans="1:15" ht="18" customHeight="1" x14ac:dyDescent="0.25">
      <c r="A20" s="213"/>
      <c r="B20" s="74">
        <f>B$4</f>
        <v>0</v>
      </c>
      <c r="C20" s="5"/>
      <c r="D20" s="6"/>
      <c r="E20" s="6"/>
      <c r="F20" s="6"/>
      <c r="G20" s="6"/>
      <c r="H20" s="6"/>
      <c r="I20" s="6"/>
      <c r="J20" s="25"/>
      <c r="K20" s="52">
        <f t="shared" si="5"/>
        <v>0</v>
      </c>
      <c r="L20" s="19" t="e">
        <f t="shared" si="6"/>
        <v>#DIV/0!</v>
      </c>
      <c r="N20" s="218" t="str">
        <f>TEXT(EOMONTH(DATEVALUE(N4&amp;"1"),0)+1,"mmmm")</f>
        <v>abril</v>
      </c>
      <c r="O20" s="219"/>
    </row>
    <row r="21" spans="1:15" ht="18" customHeight="1" x14ac:dyDescent="0.25">
      <c r="A21" s="213"/>
      <c r="B21" s="74">
        <f>B$5</f>
        <v>0</v>
      </c>
      <c r="C21" s="5"/>
      <c r="D21" s="6"/>
      <c r="E21" s="6"/>
      <c r="F21" s="6"/>
      <c r="G21" s="6"/>
      <c r="H21" s="6"/>
      <c r="I21" s="6"/>
      <c r="J21" s="25"/>
      <c r="K21" s="52">
        <f t="shared" si="5"/>
        <v>0</v>
      </c>
      <c r="L21" s="19" t="e">
        <f t="shared" si="6"/>
        <v>#DIV/0!</v>
      </c>
      <c r="N21" s="220"/>
      <c r="O21" s="206"/>
    </row>
    <row r="22" spans="1:15" ht="18" customHeight="1" x14ac:dyDescent="0.25">
      <c r="A22" s="213"/>
      <c r="B22" s="74">
        <f>B$6</f>
        <v>0</v>
      </c>
      <c r="C22" s="5"/>
      <c r="D22" s="6"/>
      <c r="E22" s="6"/>
      <c r="F22" s="6"/>
      <c r="G22" s="6"/>
      <c r="H22" s="6"/>
      <c r="I22" s="6"/>
      <c r="J22" s="25"/>
      <c r="K22" s="52">
        <f t="shared" si="5"/>
        <v>0</v>
      </c>
      <c r="L22" s="19" t="e">
        <f t="shared" si="6"/>
        <v>#DIV/0!</v>
      </c>
    </row>
    <row r="23" spans="1:15" ht="18" customHeight="1" x14ac:dyDescent="0.25">
      <c r="A23" s="213"/>
      <c r="B23" s="74">
        <f>B$7</f>
        <v>0</v>
      </c>
      <c r="C23" s="5"/>
      <c r="D23" s="6"/>
      <c r="E23" s="6"/>
      <c r="F23" s="6"/>
      <c r="G23" s="6"/>
      <c r="H23" s="6"/>
      <c r="I23" s="6"/>
      <c r="J23" s="25"/>
      <c r="K23" s="52">
        <f t="shared" si="5"/>
        <v>0</v>
      </c>
      <c r="L23" s="19" t="e">
        <f t="shared" si="6"/>
        <v>#DIV/0!</v>
      </c>
    </row>
    <row r="24" spans="1:15" ht="18" customHeight="1" x14ac:dyDescent="0.25">
      <c r="A24" s="213"/>
      <c r="B24" s="74">
        <f>B$8</f>
        <v>0</v>
      </c>
      <c r="C24" s="5"/>
      <c r="D24" s="6"/>
      <c r="E24" s="6"/>
      <c r="F24" s="6"/>
      <c r="G24" s="6"/>
      <c r="H24" s="6"/>
      <c r="I24" s="6"/>
      <c r="J24" s="25"/>
      <c r="K24" s="52">
        <f t="shared" si="5"/>
        <v>0</v>
      </c>
      <c r="L24" s="19" t="e">
        <f t="shared" si="6"/>
        <v>#DIV/0!</v>
      </c>
    </row>
    <row r="25" spans="1:15" ht="18" customHeight="1" x14ac:dyDescent="0.25">
      <c r="A25" s="213"/>
      <c r="B25" s="74">
        <f>B$9</f>
        <v>0</v>
      </c>
      <c r="C25" s="5"/>
      <c r="D25" s="42"/>
      <c r="E25" s="42"/>
      <c r="F25" s="42"/>
      <c r="G25" s="42"/>
      <c r="H25" s="42"/>
      <c r="I25" s="42"/>
      <c r="J25" s="67"/>
      <c r="K25" s="52">
        <f t="shared" si="5"/>
        <v>0</v>
      </c>
      <c r="L25" s="19" t="e">
        <f t="shared" si="6"/>
        <v>#DIV/0!</v>
      </c>
    </row>
    <row r="26" spans="1:15" ht="18" customHeight="1" thickBot="1" x14ac:dyDescent="0.3">
      <c r="A26" s="214"/>
      <c r="B26" s="75">
        <f>B$10</f>
        <v>0</v>
      </c>
      <c r="C26" s="136"/>
      <c r="D26" s="137"/>
      <c r="E26" s="137"/>
      <c r="F26" s="137"/>
      <c r="G26" s="137"/>
      <c r="H26" s="137"/>
      <c r="I26" s="137"/>
      <c r="J26" s="138"/>
      <c r="K26" s="63">
        <f t="shared" si="5"/>
        <v>0</v>
      </c>
      <c r="L26" s="20" t="e">
        <f t="shared" si="6"/>
        <v>#DIV/0!</v>
      </c>
    </row>
    <row r="27" spans="1:15" ht="18" customHeight="1" thickBot="1" x14ac:dyDescent="0.3">
      <c r="A27" s="207" t="s">
        <v>28</v>
      </c>
      <c r="B27" s="208"/>
      <c r="C27" s="18">
        <f t="shared" ref="C27:J27" si="7">SUM(C19:C26)</f>
        <v>0</v>
      </c>
      <c r="D27" s="32">
        <f t="shared" si="7"/>
        <v>0</v>
      </c>
      <c r="E27" s="32">
        <f t="shared" si="7"/>
        <v>0</v>
      </c>
      <c r="F27" s="32">
        <f t="shared" si="7"/>
        <v>0</v>
      </c>
      <c r="G27" s="32">
        <f t="shared" si="7"/>
        <v>0</v>
      </c>
      <c r="H27" s="32">
        <f t="shared" si="7"/>
        <v>0</v>
      </c>
      <c r="I27" s="32">
        <f t="shared" si="7"/>
        <v>0</v>
      </c>
      <c r="J27" s="33">
        <f t="shared" si="7"/>
        <v>0</v>
      </c>
      <c r="K27" s="61">
        <f t="shared" ref="K27" si="8">SUM(K19:K26)</f>
        <v>0</v>
      </c>
      <c r="L27" s="17" t="e">
        <f t="shared" ref="L27" si="9">SUM(L19:L26)</f>
        <v>#DIV/0!</v>
      </c>
    </row>
    <row r="28" spans="1:15" ht="18" customHeight="1" thickBot="1" x14ac:dyDescent="0.3">
      <c r="A28" s="192" t="s">
        <v>29</v>
      </c>
      <c r="B28" s="193"/>
      <c r="C28" s="34" t="e">
        <f>C27/$K$27</f>
        <v>#DIV/0!</v>
      </c>
      <c r="D28" s="35" t="e">
        <f t="shared" ref="D28:J28" si="10">D27/$K$27</f>
        <v>#DIV/0!</v>
      </c>
      <c r="E28" s="35" t="e">
        <f t="shared" si="10"/>
        <v>#DIV/0!</v>
      </c>
      <c r="F28" s="35" t="e">
        <f t="shared" si="10"/>
        <v>#DIV/0!</v>
      </c>
      <c r="G28" s="35" t="e">
        <f t="shared" si="10"/>
        <v>#DIV/0!</v>
      </c>
      <c r="H28" s="35" t="e">
        <f t="shared" si="10"/>
        <v>#DIV/0!</v>
      </c>
      <c r="I28" s="35" t="e">
        <f t="shared" si="10"/>
        <v>#DIV/0!</v>
      </c>
      <c r="J28" s="36" t="e">
        <f t="shared" si="10"/>
        <v>#DIV/0!</v>
      </c>
      <c r="K28" s="28" t="e">
        <f>SUM(C28:J28)</f>
        <v>#DIV/0!</v>
      </c>
      <c r="L28" s="62"/>
    </row>
    <row r="29" spans="1:15" ht="18" customHeight="1" thickBot="1" x14ac:dyDescent="0.3">
      <c r="A29" s="194" t="s">
        <v>41</v>
      </c>
      <c r="B29" s="8" t="s">
        <v>42</v>
      </c>
      <c r="C29" s="139"/>
      <c r="D29" s="140"/>
      <c r="E29" s="140"/>
      <c r="F29" s="140"/>
      <c r="G29" s="140"/>
      <c r="H29" s="140"/>
      <c r="I29" s="140"/>
      <c r="J29" s="141"/>
      <c r="K29" s="215"/>
      <c r="L29" s="198"/>
    </row>
    <row r="30" spans="1:15" ht="18" customHeight="1" x14ac:dyDescent="0.25">
      <c r="A30" s="195"/>
      <c r="B30" s="9" t="s">
        <v>14</v>
      </c>
      <c r="C30" s="10"/>
      <c r="D30" s="11"/>
      <c r="E30" s="11"/>
      <c r="F30" s="11"/>
      <c r="G30" s="11"/>
      <c r="H30" s="11"/>
      <c r="I30" s="11"/>
      <c r="J30" s="12"/>
      <c r="K30" s="216"/>
      <c r="L30" s="200"/>
      <c r="M30" s="66"/>
    </row>
    <row r="31" spans="1:15" ht="18" customHeight="1" thickBot="1" x14ac:dyDescent="0.3">
      <c r="A31" s="196"/>
      <c r="B31" s="13" t="s">
        <v>43</v>
      </c>
      <c r="C31" s="14"/>
      <c r="D31" s="15"/>
      <c r="E31" s="15"/>
      <c r="F31" s="15"/>
      <c r="G31" s="15"/>
      <c r="H31" s="15"/>
      <c r="I31" s="15"/>
      <c r="J31" s="16"/>
      <c r="K31" s="217"/>
      <c r="L31" s="202"/>
    </row>
    <row r="32" spans="1:15" ht="18" customHeight="1" thickBot="1" x14ac:dyDescent="0.3"/>
    <row r="33" spans="1:15" ht="18" customHeight="1" x14ac:dyDescent="0.25">
      <c r="A33" s="203"/>
      <c r="B33" s="204"/>
      <c r="C33" s="207" t="s">
        <v>27</v>
      </c>
      <c r="D33" s="208"/>
      <c r="E33" s="208"/>
      <c r="F33" s="208"/>
      <c r="G33" s="208"/>
      <c r="H33" s="208"/>
      <c r="I33" s="208"/>
      <c r="J33" s="209"/>
      <c r="K33" s="227" t="s">
        <v>28</v>
      </c>
      <c r="L33" s="210" t="s">
        <v>29</v>
      </c>
    </row>
    <row r="34" spans="1:15" ht="18" customHeight="1" thickBot="1" x14ac:dyDescent="0.3">
      <c r="A34" s="205"/>
      <c r="B34" s="206"/>
      <c r="C34" s="49" t="s">
        <v>31</v>
      </c>
      <c r="D34" s="1" t="s">
        <v>32</v>
      </c>
      <c r="E34" s="1" t="s">
        <v>33</v>
      </c>
      <c r="F34" s="1" t="s">
        <v>34</v>
      </c>
      <c r="G34" s="1" t="s">
        <v>35</v>
      </c>
      <c r="H34" s="1" t="s">
        <v>36</v>
      </c>
      <c r="I34" s="1" t="s">
        <v>37</v>
      </c>
      <c r="J34" s="50" t="s">
        <v>38</v>
      </c>
      <c r="K34" s="229"/>
      <c r="L34" s="211"/>
    </row>
    <row r="35" spans="1:15" ht="18" customHeight="1" thickBot="1" x14ac:dyDescent="0.3">
      <c r="A35" s="212" t="s">
        <v>39</v>
      </c>
      <c r="B35" s="73">
        <f>B$3</f>
        <v>0</v>
      </c>
      <c r="C35" s="2"/>
      <c r="D35" s="3"/>
      <c r="E35" s="3"/>
      <c r="F35" s="3"/>
      <c r="G35" s="3"/>
      <c r="H35" s="3"/>
      <c r="I35" s="3"/>
      <c r="J35" s="24"/>
      <c r="K35" s="51">
        <f t="shared" ref="K35:K42" si="11">SUM(C35:J35)</f>
        <v>0</v>
      </c>
      <c r="L35" s="4" t="e">
        <f t="shared" ref="L35:L42" si="12">SUM(C35:J35)/$K$43</f>
        <v>#DIV/0!</v>
      </c>
    </row>
    <row r="36" spans="1:15" ht="18" customHeight="1" x14ac:dyDescent="0.25">
      <c r="A36" s="213"/>
      <c r="B36" s="74">
        <f>B$4</f>
        <v>0</v>
      </c>
      <c r="C36" s="5"/>
      <c r="D36" s="6"/>
      <c r="E36" s="6"/>
      <c r="F36" s="6"/>
      <c r="G36" s="6"/>
      <c r="H36" s="6"/>
      <c r="I36" s="6"/>
      <c r="J36" s="25"/>
      <c r="K36" s="52">
        <f t="shared" si="11"/>
        <v>0</v>
      </c>
      <c r="L36" s="19" t="e">
        <f t="shared" si="12"/>
        <v>#DIV/0!</v>
      </c>
      <c r="N36" s="218" t="str">
        <f>TEXT(EOMONTH(DATEVALUE(N20&amp;"1"),0)+1,"mmmm")</f>
        <v>mayo</v>
      </c>
      <c r="O36" s="219"/>
    </row>
    <row r="37" spans="1:15" ht="18" customHeight="1" x14ac:dyDescent="0.25">
      <c r="A37" s="213"/>
      <c r="B37" s="74">
        <f>B$5</f>
        <v>0</v>
      </c>
      <c r="C37" s="5"/>
      <c r="D37" s="6"/>
      <c r="E37" s="6"/>
      <c r="F37" s="6"/>
      <c r="G37" s="6"/>
      <c r="H37" s="6"/>
      <c r="I37" s="6"/>
      <c r="J37" s="25"/>
      <c r="K37" s="52">
        <f t="shared" si="11"/>
        <v>0</v>
      </c>
      <c r="L37" s="19" t="e">
        <f t="shared" si="12"/>
        <v>#DIV/0!</v>
      </c>
      <c r="N37" s="220"/>
      <c r="O37" s="206"/>
    </row>
    <row r="38" spans="1:15" ht="18" customHeight="1" x14ac:dyDescent="0.25">
      <c r="A38" s="213"/>
      <c r="B38" s="74">
        <f>B$6</f>
        <v>0</v>
      </c>
      <c r="C38" s="5"/>
      <c r="D38" s="6"/>
      <c r="E38" s="6"/>
      <c r="F38" s="6"/>
      <c r="G38" s="6"/>
      <c r="H38" s="6"/>
      <c r="I38" s="6"/>
      <c r="J38" s="25"/>
      <c r="K38" s="52">
        <f t="shared" si="11"/>
        <v>0</v>
      </c>
      <c r="L38" s="19" t="e">
        <f t="shared" si="12"/>
        <v>#DIV/0!</v>
      </c>
    </row>
    <row r="39" spans="1:15" ht="18" customHeight="1" x14ac:dyDescent="0.25">
      <c r="A39" s="213"/>
      <c r="B39" s="74">
        <f>B$7</f>
        <v>0</v>
      </c>
      <c r="C39" s="5"/>
      <c r="D39" s="6"/>
      <c r="E39" s="6"/>
      <c r="F39" s="6"/>
      <c r="G39" s="6"/>
      <c r="H39" s="6"/>
      <c r="I39" s="6"/>
      <c r="J39" s="25"/>
      <c r="K39" s="52">
        <f t="shared" si="11"/>
        <v>0</v>
      </c>
      <c r="L39" s="19" t="e">
        <f t="shared" si="12"/>
        <v>#DIV/0!</v>
      </c>
    </row>
    <row r="40" spans="1:15" ht="18" customHeight="1" x14ac:dyDescent="0.25">
      <c r="A40" s="213"/>
      <c r="B40" s="74">
        <f>B$8</f>
        <v>0</v>
      </c>
      <c r="C40" s="5"/>
      <c r="D40" s="6"/>
      <c r="E40" s="6"/>
      <c r="F40" s="6"/>
      <c r="G40" s="6"/>
      <c r="H40" s="6"/>
      <c r="I40" s="6"/>
      <c r="J40" s="25"/>
      <c r="K40" s="52">
        <f t="shared" si="11"/>
        <v>0</v>
      </c>
      <c r="L40" s="19" t="e">
        <f t="shared" si="12"/>
        <v>#DIV/0!</v>
      </c>
    </row>
    <row r="41" spans="1:15" ht="18" customHeight="1" x14ac:dyDescent="0.25">
      <c r="A41" s="213"/>
      <c r="B41" s="74">
        <f>B$9</f>
        <v>0</v>
      </c>
      <c r="C41" s="5"/>
      <c r="D41" s="42"/>
      <c r="E41" s="42"/>
      <c r="F41" s="42"/>
      <c r="G41" s="42"/>
      <c r="H41" s="42"/>
      <c r="I41" s="42"/>
      <c r="J41" s="67"/>
      <c r="K41" s="52">
        <f t="shared" si="11"/>
        <v>0</v>
      </c>
      <c r="L41" s="19" t="e">
        <f t="shared" si="12"/>
        <v>#DIV/0!</v>
      </c>
    </row>
    <row r="42" spans="1:15" ht="18" customHeight="1" thickBot="1" x14ac:dyDescent="0.3">
      <c r="A42" s="214"/>
      <c r="B42" s="75">
        <f>B$10</f>
        <v>0</v>
      </c>
      <c r="C42" s="136"/>
      <c r="D42" s="137"/>
      <c r="E42" s="137"/>
      <c r="F42" s="137"/>
      <c r="G42" s="137"/>
      <c r="H42" s="137"/>
      <c r="I42" s="137"/>
      <c r="J42" s="138"/>
      <c r="K42" s="63">
        <f t="shared" si="11"/>
        <v>0</v>
      </c>
      <c r="L42" s="20" t="e">
        <f t="shared" si="12"/>
        <v>#DIV/0!</v>
      </c>
    </row>
    <row r="43" spans="1:15" ht="18" customHeight="1" thickBot="1" x14ac:dyDescent="0.3">
      <c r="A43" s="207" t="s">
        <v>28</v>
      </c>
      <c r="B43" s="208"/>
      <c r="C43" s="18">
        <f t="shared" ref="C43:J43" si="13">SUM(C35:C42)</f>
        <v>0</v>
      </c>
      <c r="D43" s="32">
        <f t="shared" si="13"/>
        <v>0</v>
      </c>
      <c r="E43" s="32">
        <f t="shared" si="13"/>
        <v>0</v>
      </c>
      <c r="F43" s="32">
        <f t="shared" si="13"/>
        <v>0</v>
      </c>
      <c r="G43" s="32">
        <f t="shared" si="13"/>
        <v>0</v>
      </c>
      <c r="H43" s="32">
        <f t="shared" si="13"/>
        <v>0</v>
      </c>
      <c r="I43" s="32">
        <f t="shared" si="13"/>
        <v>0</v>
      </c>
      <c r="J43" s="33">
        <f t="shared" si="13"/>
        <v>0</v>
      </c>
      <c r="K43" s="61">
        <f t="shared" ref="K43" si="14">SUM(K35:K42)</f>
        <v>0</v>
      </c>
      <c r="L43" s="17" t="e">
        <f t="shared" ref="L43" si="15">SUM(L35:L42)</f>
        <v>#DIV/0!</v>
      </c>
    </row>
    <row r="44" spans="1:15" ht="18" customHeight="1" thickBot="1" x14ac:dyDescent="0.3">
      <c r="A44" s="192" t="s">
        <v>29</v>
      </c>
      <c r="B44" s="193"/>
      <c r="C44" s="34" t="e">
        <f>C43/$K$43</f>
        <v>#DIV/0!</v>
      </c>
      <c r="D44" s="35" t="e">
        <f t="shared" ref="D44:J44" si="16">D43/$K$43</f>
        <v>#DIV/0!</v>
      </c>
      <c r="E44" s="35" t="e">
        <f t="shared" si="16"/>
        <v>#DIV/0!</v>
      </c>
      <c r="F44" s="35" t="e">
        <f t="shared" si="16"/>
        <v>#DIV/0!</v>
      </c>
      <c r="G44" s="35" t="e">
        <f t="shared" si="16"/>
        <v>#DIV/0!</v>
      </c>
      <c r="H44" s="35" t="e">
        <f t="shared" si="16"/>
        <v>#DIV/0!</v>
      </c>
      <c r="I44" s="35" t="e">
        <f t="shared" si="16"/>
        <v>#DIV/0!</v>
      </c>
      <c r="J44" s="36" t="e">
        <f t="shared" si="16"/>
        <v>#DIV/0!</v>
      </c>
      <c r="K44" s="60" t="e">
        <f>SUM(C44:J44)</f>
        <v>#DIV/0!</v>
      </c>
      <c r="L44" s="62"/>
    </row>
    <row r="45" spans="1:15" ht="18" customHeight="1" thickBot="1" x14ac:dyDescent="0.3">
      <c r="A45" s="194" t="s">
        <v>41</v>
      </c>
      <c r="B45" s="8" t="s">
        <v>42</v>
      </c>
      <c r="C45" s="139"/>
      <c r="D45" s="140"/>
      <c r="E45" s="140"/>
      <c r="F45" s="140"/>
      <c r="G45" s="140"/>
      <c r="H45" s="140"/>
      <c r="I45" s="140"/>
      <c r="J45" s="141"/>
      <c r="K45" s="215"/>
      <c r="L45" s="198"/>
    </row>
    <row r="46" spans="1:15" ht="18" customHeight="1" x14ac:dyDescent="0.25">
      <c r="A46" s="195"/>
      <c r="B46" s="9" t="s">
        <v>14</v>
      </c>
      <c r="C46" s="10"/>
      <c r="D46" s="11"/>
      <c r="E46" s="11"/>
      <c r="F46" s="11"/>
      <c r="G46" s="11"/>
      <c r="H46" s="11"/>
      <c r="I46" s="11"/>
      <c r="J46" s="12"/>
      <c r="K46" s="216"/>
      <c r="L46" s="200"/>
    </row>
    <row r="47" spans="1:15" ht="18" customHeight="1" thickBot="1" x14ac:dyDescent="0.3">
      <c r="A47" s="196"/>
      <c r="B47" s="13" t="s">
        <v>43</v>
      </c>
      <c r="C47" s="14"/>
      <c r="D47" s="15"/>
      <c r="E47" s="15"/>
      <c r="F47" s="15"/>
      <c r="G47" s="15"/>
      <c r="H47" s="15"/>
      <c r="I47" s="15"/>
      <c r="J47" s="16"/>
      <c r="K47" s="217"/>
      <c r="L47" s="202"/>
    </row>
    <row r="48" spans="1:15" ht="18" customHeight="1" thickBot="1" x14ac:dyDescent="0.3"/>
    <row r="49" spans="1:15" ht="18" customHeight="1" x14ac:dyDescent="0.25">
      <c r="A49" s="203"/>
      <c r="B49" s="204"/>
      <c r="C49" s="207" t="s">
        <v>27</v>
      </c>
      <c r="D49" s="208"/>
      <c r="E49" s="208"/>
      <c r="F49" s="208"/>
      <c r="G49" s="208"/>
      <c r="H49" s="208"/>
      <c r="I49" s="208"/>
      <c r="J49" s="209"/>
      <c r="K49" s="230" t="s">
        <v>28</v>
      </c>
      <c r="L49" s="227" t="s">
        <v>29</v>
      </c>
    </row>
    <row r="50" spans="1:15" ht="18" customHeight="1" thickBot="1" x14ac:dyDescent="0.3">
      <c r="A50" s="205"/>
      <c r="B50" s="206"/>
      <c r="C50" s="49" t="s">
        <v>31</v>
      </c>
      <c r="D50" s="1" t="s">
        <v>32</v>
      </c>
      <c r="E50" s="1" t="s">
        <v>33</v>
      </c>
      <c r="F50" s="1" t="s">
        <v>34</v>
      </c>
      <c r="G50" s="1" t="s">
        <v>35</v>
      </c>
      <c r="H50" s="1" t="s">
        <v>36</v>
      </c>
      <c r="I50" s="1" t="s">
        <v>37</v>
      </c>
      <c r="J50" s="50" t="s">
        <v>38</v>
      </c>
      <c r="K50" s="205"/>
      <c r="L50" s="229"/>
    </row>
    <row r="51" spans="1:15" ht="18" customHeight="1" thickBot="1" x14ac:dyDescent="0.3">
      <c r="A51" s="212" t="s">
        <v>39</v>
      </c>
      <c r="B51" s="73">
        <f>B$3</f>
        <v>0</v>
      </c>
      <c r="C51" s="2"/>
      <c r="D51" s="3"/>
      <c r="E51" s="3"/>
      <c r="F51" s="3"/>
      <c r="G51" s="3"/>
      <c r="H51" s="3"/>
      <c r="I51" s="3"/>
      <c r="J51" s="24"/>
      <c r="K51" s="51">
        <f t="shared" ref="K51:K58" si="17">SUM(C51:J51)</f>
        <v>0</v>
      </c>
      <c r="L51" s="4" t="e">
        <f t="shared" ref="L51:L58" si="18">SUM(C51:J51)/$K$59</f>
        <v>#DIV/0!</v>
      </c>
    </row>
    <row r="52" spans="1:15" ht="18" customHeight="1" x14ac:dyDescent="0.25">
      <c r="A52" s="213"/>
      <c r="B52" s="74">
        <f>B$4</f>
        <v>0</v>
      </c>
      <c r="C52" s="5"/>
      <c r="D52" s="6"/>
      <c r="E52" s="6"/>
      <c r="F52" s="6"/>
      <c r="G52" s="6"/>
      <c r="H52" s="6"/>
      <c r="I52" s="6"/>
      <c r="J52" s="25"/>
      <c r="K52" s="52">
        <f t="shared" si="17"/>
        <v>0</v>
      </c>
      <c r="L52" s="19" t="e">
        <f t="shared" si="18"/>
        <v>#DIV/0!</v>
      </c>
      <c r="N52" s="218" t="str">
        <f>TEXT(EOMONTH(DATEVALUE(N36&amp;"1"),0)+1,"mmmm")</f>
        <v>junio</v>
      </c>
      <c r="O52" s="219"/>
    </row>
    <row r="53" spans="1:15" ht="18" customHeight="1" x14ac:dyDescent="0.25">
      <c r="A53" s="213"/>
      <c r="B53" s="74">
        <f>B$5</f>
        <v>0</v>
      </c>
      <c r="C53" s="5"/>
      <c r="D53" s="6"/>
      <c r="E53" s="6"/>
      <c r="F53" s="6"/>
      <c r="G53" s="6"/>
      <c r="H53" s="6"/>
      <c r="I53" s="6"/>
      <c r="J53" s="25"/>
      <c r="K53" s="52">
        <f t="shared" si="17"/>
        <v>0</v>
      </c>
      <c r="L53" s="19" t="e">
        <f t="shared" si="18"/>
        <v>#DIV/0!</v>
      </c>
      <c r="N53" s="220"/>
      <c r="O53" s="206"/>
    </row>
    <row r="54" spans="1:15" ht="18" customHeight="1" x14ac:dyDescent="0.25">
      <c r="A54" s="213"/>
      <c r="B54" s="74">
        <f>B$6</f>
        <v>0</v>
      </c>
      <c r="C54" s="5"/>
      <c r="D54" s="6"/>
      <c r="E54" s="6"/>
      <c r="F54" s="6"/>
      <c r="G54" s="6"/>
      <c r="H54" s="6"/>
      <c r="I54" s="6"/>
      <c r="J54" s="25"/>
      <c r="K54" s="52">
        <f t="shared" si="17"/>
        <v>0</v>
      </c>
      <c r="L54" s="19" t="e">
        <f t="shared" si="18"/>
        <v>#DIV/0!</v>
      </c>
    </row>
    <row r="55" spans="1:15" ht="18" customHeight="1" x14ac:dyDescent="0.25">
      <c r="A55" s="213"/>
      <c r="B55" s="74">
        <f>B$7</f>
        <v>0</v>
      </c>
      <c r="C55" s="5"/>
      <c r="D55" s="6"/>
      <c r="E55" s="6"/>
      <c r="F55" s="6"/>
      <c r="G55" s="6"/>
      <c r="H55" s="6"/>
      <c r="I55" s="6"/>
      <c r="J55" s="25"/>
      <c r="K55" s="52">
        <f t="shared" si="17"/>
        <v>0</v>
      </c>
      <c r="L55" s="19" t="e">
        <f t="shared" si="18"/>
        <v>#DIV/0!</v>
      </c>
    </row>
    <row r="56" spans="1:15" ht="18" customHeight="1" x14ac:dyDescent="0.25">
      <c r="A56" s="213"/>
      <c r="B56" s="74">
        <f>B$8</f>
        <v>0</v>
      </c>
      <c r="C56" s="5"/>
      <c r="D56" s="6"/>
      <c r="E56" s="6"/>
      <c r="F56" s="6"/>
      <c r="G56" s="6"/>
      <c r="H56" s="6"/>
      <c r="I56" s="6"/>
      <c r="J56" s="25"/>
      <c r="K56" s="52">
        <f t="shared" si="17"/>
        <v>0</v>
      </c>
      <c r="L56" s="19" t="e">
        <f t="shared" si="18"/>
        <v>#DIV/0!</v>
      </c>
    </row>
    <row r="57" spans="1:15" ht="18" customHeight="1" x14ac:dyDescent="0.25">
      <c r="A57" s="213"/>
      <c r="B57" s="74">
        <f>B$9</f>
        <v>0</v>
      </c>
      <c r="C57" s="5"/>
      <c r="D57" s="42"/>
      <c r="E57" s="42"/>
      <c r="F57" s="42"/>
      <c r="G57" s="42"/>
      <c r="H57" s="42"/>
      <c r="I57" s="42"/>
      <c r="J57" s="67"/>
      <c r="K57" s="52">
        <f t="shared" si="17"/>
        <v>0</v>
      </c>
      <c r="L57" s="19" t="e">
        <f t="shared" si="18"/>
        <v>#DIV/0!</v>
      </c>
    </row>
    <row r="58" spans="1:15" ht="18" customHeight="1" thickBot="1" x14ac:dyDescent="0.3">
      <c r="A58" s="214"/>
      <c r="B58" s="75">
        <f>B$10</f>
        <v>0</v>
      </c>
      <c r="C58" s="136"/>
      <c r="D58" s="137"/>
      <c r="E58" s="137"/>
      <c r="F58" s="137"/>
      <c r="G58" s="137"/>
      <c r="H58" s="137"/>
      <c r="I58" s="137"/>
      <c r="J58" s="138"/>
      <c r="K58" s="63">
        <f t="shared" si="17"/>
        <v>0</v>
      </c>
      <c r="L58" s="20" t="e">
        <f t="shared" si="18"/>
        <v>#DIV/0!</v>
      </c>
    </row>
    <row r="59" spans="1:15" ht="18" customHeight="1" thickBot="1" x14ac:dyDescent="0.3">
      <c r="A59" s="207" t="s">
        <v>28</v>
      </c>
      <c r="B59" s="208"/>
      <c r="C59" s="18">
        <f t="shared" ref="C59:J59" si="19">SUM(C51:C58)</f>
        <v>0</v>
      </c>
      <c r="D59" s="32">
        <f t="shared" si="19"/>
        <v>0</v>
      </c>
      <c r="E59" s="32">
        <f t="shared" si="19"/>
        <v>0</v>
      </c>
      <c r="F59" s="32">
        <f t="shared" si="19"/>
        <v>0</v>
      </c>
      <c r="G59" s="32">
        <f t="shared" si="19"/>
        <v>0</v>
      </c>
      <c r="H59" s="32">
        <f t="shared" si="19"/>
        <v>0</v>
      </c>
      <c r="I59" s="32">
        <f t="shared" si="19"/>
        <v>0</v>
      </c>
      <c r="J59" s="33">
        <f t="shared" si="19"/>
        <v>0</v>
      </c>
      <c r="K59" s="61">
        <f t="shared" ref="K59" si="20">SUM(K51:K58)</f>
        <v>0</v>
      </c>
      <c r="L59" s="17" t="e">
        <f t="shared" ref="L59" si="21">SUM(L51:L58)</f>
        <v>#DIV/0!</v>
      </c>
    </row>
    <row r="60" spans="1:15" ht="18" customHeight="1" thickBot="1" x14ac:dyDescent="0.3">
      <c r="A60" s="192" t="s">
        <v>29</v>
      </c>
      <c r="B60" s="193"/>
      <c r="C60" s="34" t="e">
        <f>C59/$K$59</f>
        <v>#DIV/0!</v>
      </c>
      <c r="D60" s="35" t="e">
        <f t="shared" ref="D60:J60" si="22">D59/$K$59</f>
        <v>#DIV/0!</v>
      </c>
      <c r="E60" s="35" t="e">
        <f t="shared" si="22"/>
        <v>#DIV/0!</v>
      </c>
      <c r="F60" s="35" t="e">
        <f t="shared" si="22"/>
        <v>#DIV/0!</v>
      </c>
      <c r="G60" s="35" t="e">
        <f t="shared" si="22"/>
        <v>#DIV/0!</v>
      </c>
      <c r="H60" s="35" t="e">
        <f t="shared" si="22"/>
        <v>#DIV/0!</v>
      </c>
      <c r="I60" s="35" t="e">
        <f t="shared" si="22"/>
        <v>#DIV/0!</v>
      </c>
      <c r="J60" s="36" t="e">
        <f t="shared" si="22"/>
        <v>#DIV/0!</v>
      </c>
      <c r="K60" s="28" t="e">
        <f>SUM(C60:J60)</f>
        <v>#DIV/0!</v>
      </c>
      <c r="L60" s="62"/>
    </row>
    <row r="61" spans="1:15" ht="18" customHeight="1" thickBot="1" x14ac:dyDescent="0.3">
      <c r="A61" s="194" t="s">
        <v>41</v>
      </c>
      <c r="B61" s="8" t="s">
        <v>42</v>
      </c>
      <c r="C61" s="139"/>
      <c r="D61" s="140"/>
      <c r="E61" s="140"/>
      <c r="F61" s="140"/>
      <c r="G61" s="140"/>
      <c r="H61" s="140"/>
      <c r="I61" s="140"/>
      <c r="J61" s="141"/>
      <c r="K61" s="215"/>
      <c r="L61" s="198"/>
    </row>
    <row r="62" spans="1:15" ht="18" customHeight="1" x14ac:dyDescent="0.25">
      <c r="A62" s="195"/>
      <c r="B62" s="9" t="s">
        <v>14</v>
      </c>
      <c r="C62" s="10"/>
      <c r="D62" s="11"/>
      <c r="E62" s="11"/>
      <c r="F62" s="11"/>
      <c r="G62" s="11"/>
      <c r="H62" s="11"/>
      <c r="I62" s="11"/>
      <c r="J62" s="12"/>
      <c r="K62" s="216"/>
      <c r="L62" s="200"/>
    </row>
    <row r="63" spans="1:15" ht="18" customHeight="1" thickBot="1" x14ac:dyDescent="0.3">
      <c r="A63" s="196"/>
      <c r="B63" s="13" t="s">
        <v>43</v>
      </c>
      <c r="C63" s="14"/>
      <c r="D63" s="15"/>
      <c r="E63" s="15"/>
      <c r="F63" s="15"/>
      <c r="G63" s="15"/>
      <c r="H63" s="15"/>
      <c r="I63" s="15"/>
      <c r="J63" s="16"/>
      <c r="K63" s="217"/>
      <c r="L63" s="202"/>
    </row>
    <row r="64" spans="1:15" ht="18" customHeight="1" thickBot="1" x14ac:dyDescent="0.3"/>
    <row r="65" spans="1:15" ht="18" customHeight="1" x14ac:dyDescent="0.25">
      <c r="A65" s="203"/>
      <c r="B65" s="204"/>
      <c r="C65" s="207" t="s">
        <v>27</v>
      </c>
      <c r="D65" s="208"/>
      <c r="E65" s="208"/>
      <c r="F65" s="208"/>
      <c r="G65" s="208"/>
      <c r="H65" s="208"/>
      <c r="I65" s="208"/>
      <c r="J65" s="209"/>
      <c r="K65" s="227" t="s">
        <v>28</v>
      </c>
      <c r="L65" s="210" t="s">
        <v>29</v>
      </c>
    </row>
    <row r="66" spans="1:15" ht="18" customHeight="1" thickBot="1" x14ac:dyDescent="0.3">
      <c r="A66" s="205"/>
      <c r="B66" s="206"/>
      <c r="C66" s="49" t="s">
        <v>31</v>
      </c>
      <c r="D66" s="1" t="s">
        <v>32</v>
      </c>
      <c r="E66" s="1" t="s">
        <v>33</v>
      </c>
      <c r="F66" s="1" t="s">
        <v>34</v>
      </c>
      <c r="G66" s="1" t="s">
        <v>35</v>
      </c>
      <c r="H66" s="1" t="s">
        <v>36</v>
      </c>
      <c r="I66" s="1" t="s">
        <v>37</v>
      </c>
      <c r="J66" s="50" t="s">
        <v>38</v>
      </c>
      <c r="K66" s="229"/>
      <c r="L66" s="211"/>
    </row>
    <row r="67" spans="1:15" ht="18" customHeight="1" thickBot="1" x14ac:dyDescent="0.3">
      <c r="A67" s="212" t="s">
        <v>39</v>
      </c>
      <c r="B67" s="73">
        <f>B$3</f>
        <v>0</v>
      </c>
      <c r="C67" s="2"/>
      <c r="D67" s="3"/>
      <c r="E67" s="3"/>
      <c r="F67" s="3"/>
      <c r="G67" s="3"/>
      <c r="H67" s="3"/>
      <c r="I67" s="3"/>
      <c r="J67" s="24"/>
      <c r="K67" s="51">
        <f t="shared" ref="K67:K74" si="23">SUM(C67:J67)</f>
        <v>0</v>
      </c>
      <c r="L67" s="4" t="e">
        <f t="shared" ref="L67:L74" si="24">SUM(C67:J67)/$K$75</f>
        <v>#DIV/0!</v>
      </c>
    </row>
    <row r="68" spans="1:15" ht="18" customHeight="1" x14ac:dyDescent="0.25">
      <c r="A68" s="213"/>
      <c r="B68" s="74">
        <f>B$4</f>
        <v>0</v>
      </c>
      <c r="C68" s="5"/>
      <c r="D68" s="6"/>
      <c r="E68" s="6"/>
      <c r="F68" s="6"/>
      <c r="G68" s="6"/>
      <c r="H68" s="6"/>
      <c r="I68" s="6"/>
      <c r="J68" s="25"/>
      <c r="K68" s="52">
        <f t="shared" si="23"/>
        <v>0</v>
      </c>
      <c r="L68" s="19" t="e">
        <f t="shared" si="24"/>
        <v>#DIV/0!</v>
      </c>
      <c r="N68" s="218" t="str">
        <f>TEXT(EOMONTH(DATEVALUE(N52&amp;"1"),0)+1,"mmmm")</f>
        <v>julio</v>
      </c>
      <c r="O68" s="219"/>
    </row>
    <row r="69" spans="1:15" ht="18" customHeight="1" x14ac:dyDescent="0.25">
      <c r="A69" s="213"/>
      <c r="B69" s="74">
        <f>B$5</f>
        <v>0</v>
      </c>
      <c r="C69" s="5"/>
      <c r="D69" s="6"/>
      <c r="E69" s="6"/>
      <c r="F69" s="6"/>
      <c r="G69" s="6"/>
      <c r="H69" s="6"/>
      <c r="I69" s="6"/>
      <c r="J69" s="25"/>
      <c r="K69" s="52">
        <f t="shared" si="23"/>
        <v>0</v>
      </c>
      <c r="L69" s="19" t="e">
        <f t="shared" si="24"/>
        <v>#DIV/0!</v>
      </c>
      <c r="N69" s="220"/>
      <c r="O69" s="206"/>
    </row>
    <row r="70" spans="1:15" ht="18" customHeight="1" x14ac:dyDescent="0.25">
      <c r="A70" s="213"/>
      <c r="B70" s="74">
        <f>B$6</f>
        <v>0</v>
      </c>
      <c r="C70" s="5"/>
      <c r="D70" s="6"/>
      <c r="E70" s="6"/>
      <c r="F70" s="6"/>
      <c r="G70" s="6"/>
      <c r="H70" s="6"/>
      <c r="I70" s="6"/>
      <c r="J70" s="25"/>
      <c r="K70" s="52">
        <f t="shared" si="23"/>
        <v>0</v>
      </c>
      <c r="L70" s="19" t="e">
        <f t="shared" si="24"/>
        <v>#DIV/0!</v>
      </c>
    </row>
    <row r="71" spans="1:15" ht="18" customHeight="1" x14ac:dyDescent="0.25">
      <c r="A71" s="213"/>
      <c r="B71" s="74">
        <f>B$7</f>
        <v>0</v>
      </c>
      <c r="C71" s="5"/>
      <c r="D71" s="6"/>
      <c r="E71" s="6"/>
      <c r="F71" s="6"/>
      <c r="G71" s="6"/>
      <c r="H71" s="6"/>
      <c r="I71" s="6"/>
      <c r="J71" s="25"/>
      <c r="K71" s="52">
        <f t="shared" si="23"/>
        <v>0</v>
      </c>
      <c r="L71" s="19" t="e">
        <f t="shared" si="24"/>
        <v>#DIV/0!</v>
      </c>
    </row>
    <row r="72" spans="1:15" ht="18" customHeight="1" x14ac:dyDescent="0.25">
      <c r="A72" s="213"/>
      <c r="B72" s="74">
        <f>B$8</f>
        <v>0</v>
      </c>
      <c r="C72" s="5"/>
      <c r="D72" s="6"/>
      <c r="E72" s="6"/>
      <c r="F72" s="6"/>
      <c r="G72" s="6"/>
      <c r="H72" s="6"/>
      <c r="I72" s="6"/>
      <c r="J72" s="25"/>
      <c r="K72" s="52">
        <f t="shared" si="23"/>
        <v>0</v>
      </c>
      <c r="L72" s="19" t="e">
        <f t="shared" si="24"/>
        <v>#DIV/0!</v>
      </c>
    </row>
    <row r="73" spans="1:15" ht="18" customHeight="1" x14ac:dyDescent="0.25">
      <c r="A73" s="213"/>
      <c r="B73" s="74">
        <f>B$9</f>
        <v>0</v>
      </c>
      <c r="C73" s="5"/>
      <c r="D73" s="42"/>
      <c r="E73" s="42"/>
      <c r="F73" s="42"/>
      <c r="G73" s="42"/>
      <c r="H73" s="42"/>
      <c r="I73" s="42"/>
      <c r="J73" s="67"/>
      <c r="K73" s="52">
        <f t="shared" si="23"/>
        <v>0</v>
      </c>
      <c r="L73" s="19" t="e">
        <f t="shared" si="24"/>
        <v>#DIV/0!</v>
      </c>
    </row>
    <row r="74" spans="1:15" ht="18" customHeight="1" thickBot="1" x14ac:dyDescent="0.3">
      <c r="A74" s="214"/>
      <c r="B74" s="75">
        <f>B$10</f>
        <v>0</v>
      </c>
      <c r="C74" s="136"/>
      <c r="D74" s="137"/>
      <c r="E74" s="137"/>
      <c r="F74" s="137"/>
      <c r="G74" s="137"/>
      <c r="H74" s="137"/>
      <c r="I74" s="137"/>
      <c r="J74" s="138"/>
      <c r="K74" s="63">
        <f t="shared" si="23"/>
        <v>0</v>
      </c>
      <c r="L74" s="20" t="e">
        <f t="shared" si="24"/>
        <v>#DIV/0!</v>
      </c>
    </row>
    <row r="75" spans="1:15" ht="18" customHeight="1" thickBot="1" x14ac:dyDescent="0.3">
      <c r="A75" s="207" t="s">
        <v>28</v>
      </c>
      <c r="B75" s="208"/>
      <c r="C75" s="18">
        <f t="shared" ref="C75:J75" si="25">SUM(C67:C74)</f>
        <v>0</v>
      </c>
      <c r="D75" s="32">
        <f t="shared" si="25"/>
        <v>0</v>
      </c>
      <c r="E75" s="32">
        <f t="shared" si="25"/>
        <v>0</v>
      </c>
      <c r="F75" s="32">
        <f t="shared" si="25"/>
        <v>0</v>
      </c>
      <c r="G75" s="32">
        <f t="shared" si="25"/>
        <v>0</v>
      </c>
      <c r="H75" s="32">
        <f t="shared" si="25"/>
        <v>0</v>
      </c>
      <c r="I75" s="32">
        <f t="shared" si="25"/>
        <v>0</v>
      </c>
      <c r="J75" s="33">
        <f t="shared" si="25"/>
        <v>0</v>
      </c>
      <c r="K75" s="61">
        <f t="shared" ref="K75" si="26">SUM(K67:K74)</f>
        <v>0</v>
      </c>
      <c r="L75" s="143" t="e">
        <f t="shared" ref="L75" si="27">SUM(L67:L74)</f>
        <v>#DIV/0!</v>
      </c>
    </row>
    <row r="76" spans="1:15" ht="18" customHeight="1" thickBot="1" x14ac:dyDescent="0.3">
      <c r="A76" s="192" t="s">
        <v>29</v>
      </c>
      <c r="B76" s="193"/>
      <c r="C76" s="34" t="e">
        <f>C75/$K$75</f>
        <v>#DIV/0!</v>
      </c>
      <c r="D76" s="35" t="e">
        <f t="shared" ref="D76:J76" si="28">D75/$K$75</f>
        <v>#DIV/0!</v>
      </c>
      <c r="E76" s="35" t="e">
        <f t="shared" si="28"/>
        <v>#DIV/0!</v>
      </c>
      <c r="F76" s="35" t="e">
        <f t="shared" si="28"/>
        <v>#DIV/0!</v>
      </c>
      <c r="G76" s="35" t="e">
        <f t="shared" si="28"/>
        <v>#DIV/0!</v>
      </c>
      <c r="H76" s="35" t="e">
        <f t="shared" si="28"/>
        <v>#DIV/0!</v>
      </c>
      <c r="I76" s="35" t="e">
        <f t="shared" si="28"/>
        <v>#DIV/0!</v>
      </c>
      <c r="J76" s="36" t="e">
        <f t="shared" si="28"/>
        <v>#DIV/0!</v>
      </c>
      <c r="K76" s="28" t="e">
        <f>SUM(C76:J76)</f>
        <v>#DIV/0!</v>
      </c>
      <c r="L76" s="62"/>
    </row>
    <row r="77" spans="1:15" ht="18" customHeight="1" thickBot="1" x14ac:dyDescent="0.3">
      <c r="A77" s="194" t="s">
        <v>41</v>
      </c>
      <c r="B77" s="8" t="s">
        <v>42</v>
      </c>
      <c r="C77" s="139"/>
      <c r="D77" s="140"/>
      <c r="E77" s="140"/>
      <c r="F77" s="140"/>
      <c r="G77" s="140"/>
      <c r="H77" s="140"/>
      <c r="I77" s="140"/>
      <c r="J77" s="141"/>
      <c r="K77" s="215"/>
      <c r="L77" s="198"/>
    </row>
    <row r="78" spans="1:15" ht="18" customHeight="1" x14ac:dyDescent="0.25">
      <c r="A78" s="195"/>
      <c r="B78" s="9" t="s">
        <v>14</v>
      </c>
      <c r="C78" s="10"/>
      <c r="D78" s="11"/>
      <c r="E78" s="11"/>
      <c r="F78" s="11"/>
      <c r="G78" s="11"/>
      <c r="H78" s="11"/>
      <c r="I78" s="11"/>
      <c r="J78" s="12"/>
      <c r="K78" s="216"/>
      <c r="L78" s="200"/>
    </row>
    <row r="79" spans="1:15" ht="18" customHeight="1" thickBot="1" x14ac:dyDescent="0.3">
      <c r="A79" s="196"/>
      <c r="B79" s="13" t="s">
        <v>43</v>
      </c>
      <c r="C79" s="14"/>
      <c r="D79" s="15"/>
      <c r="E79" s="15"/>
      <c r="F79" s="15"/>
      <c r="G79" s="15"/>
      <c r="H79" s="15"/>
      <c r="I79" s="15"/>
      <c r="J79" s="16"/>
      <c r="K79" s="217"/>
      <c r="L79" s="202"/>
    </row>
    <row r="80" spans="1:15" ht="18" customHeight="1" thickBot="1" x14ac:dyDescent="0.3"/>
    <row r="81" spans="1:15" ht="18" customHeight="1" x14ac:dyDescent="0.25">
      <c r="A81" s="203"/>
      <c r="B81" s="204"/>
      <c r="C81" s="207" t="s">
        <v>27</v>
      </c>
      <c r="D81" s="208"/>
      <c r="E81" s="208"/>
      <c r="F81" s="208"/>
      <c r="G81" s="208"/>
      <c r="H81" s="208"/>
      <c r="I81" s="208"/>
      <c r="J81" s="209"/>
      <c r="K81" s="227" t="s">
        <v>28</v>
      </c>
      <c r="L81" s="210" t="s">
        <v>29</v>
      </c>
    </row>
    <row r="82" spans="1:15" ht="18" customHeight="1" thickBot="1" x14ac:dyDescent="0.3">
      <c r="A82" s="205"/>
      <c r="B82" s="206"/>
      <c r="C82" s="49" t="s">
        <v>31</v>
      </c>
      <c r="D82" s="1" t="s">
        <v>32</v>
      </c>
      <c r="E82" s="1" t="s">
        <v>33</v>
      </c>
      <c r="F82" s="1" t="s">
        <v>34</v>
      </c>
      <c r="G82" s="1" t="s">
        <v>35</v>
      </c>
      <c r="H82" s="1" t="s">
        <v>36</v>
      </c>
      <c r="I82" s="1" t="s">
        <v>37</v>
      </c>
      <c r="J82" s="50" t="s">
        <v>38</v>
      </c>
      <c r="K82" s="229"/>
      <c r="L82" s="200"/>
    </row>
    <row r="83" spans="1:15" ht="18" customHeight="1" thickBot="1" x14ac:dyDescent="0.3">
      <c r="A83" s="212" t="s">
        <v>39</v>
      </c>
      <c r="B83" s="73">
        <f>B$3</f>
        <v>0</v>
      </c>
      <c r="C83" s="2"/>
      <c r="D83" s="3"/>
      <c r="E83" s="3"/>
      <c r="F83" s="3"/>
      <c r="G83" s="3"/>
      <c r="H83" s="3"/>
      <c r="I83" s="3"/>
      <c r="J83" s="24"/>
      <c r="K83" s="51">
        <f t="shared" ref="K83:K90" si="29">SUM(C83:J83)</f>
        <v>0</v>
      </c>
      <c r="L83" s="4" t="e">
        <f>SUM(C83:J83)/$K$91</f>
        <v>#DIV/0!</v>
      </c>
    </row>
    <row r="84" spans="1:15" ht="18" customHeight="1" x14ac:dyDescent="0.25">
      <c r="A84" s="213"/>
      <c r="B84" s="74">
        <f>B$4</f>
        <v>0</v>
      </c>
      <c r="C84" s="5"/>
      <c r="D84" s="6"/>
      <c r="E84" s="6"/>
      <c r="F84" s="6"/>
      <c r="G84" s="6"/>
      <c r="H84" s="6"/>
      <c r="I84" s="6"/>
      <c r="J84" s="25"/>
      <c r="K84" s="52">
        <f t="shared" si="29"/>
        <v>0</v>
      </c>
      <c r="L84" s="19" t="e">
        <f t="shared" ref="L84:L88" si="30">SUM(C84:J84)/$K$91</f>
        <v>#DIV/0!</v>
      </c>
      <c r="N84" s="218" t="str">
        <f>TEXT(EOMONTH(DATEVALUE(N68&amp;"1"),0)+1,"mmmm")</f>
        <v>agosto</v>
      </c>
      <c r="O84" s="219"/>
    </row>
    <row r="85" spans="1:15" ht="18" customHeight="1" x14ac:dyDescent="0.25">
      <c r="A85" s="213"/>
      <c r="B85" s="74">
        <f>B$5</f>
        <v>0</v>
      </c>
      <c r="C85" s="5"/>
      <c r="D85" s="6"/>
      <c r="E85" s="6"/>
      <c r="F85" s="6"/>
      <c r="G85" s="6"/>
      <c r="H85" s="6"/>
      <c r="I85" s="6"/>
      <c r="J85" s="25"/>
      <c r="K85" s="52">
        <f t="shared" si="29"/>
        <v>0</v>
      </c>
      <c r="L85" s="19" t="e">
        <f t="shared" si="30"/>
        <v>#DIV/0!</v>
      </c>
      <c r="N85" s="220"/>
      <c r="O85" s="206"/>
    </row>
    <row r="86" spans="1:15" ht="18" customHeight="1" x14ac:dyDescent="0.25">
      <c r="A86" s="213"/>
      <c r="B86" s="74">
        <f>B$6</f>
        <v>0</v>
      </c>
      <c r="C86" s="5"/>
      <c r="D86" s="6"/>
      <c r="E86" s="6"/>
      <c r="F86" s="6"/>
      <c r="G86" s="6"/>
      <c r="H86" s="6"/>
      <c r="I86" s="6"/>
      <c r="J86" s="25"/>
      <c r="K86" s="52">
        <f t="shared" si="29"/>
        <v>0</v>
      </c>
      <c r="L86" s="19" t="e">
        <f t="shared" si="30"/>
        <v>#DIV/0!</v>
      </c>
    </row>
    <row r="87" spans="1:15" ht="18" customHeight="1" x14ac:dyDescent="0.25">
      <c r="A87" s="213"/>
      <c r="B87" s="74">
        <f>B$7</f>
        <v>0</v>
      </c>
      <c r="C87" s="5"/>
      <c r="D87" s="6"/>
      <c r="E87" s="6"/>
      <c r="F87" s="6"/>
      <c r="G87" s="6"/>
      <c r="H87" s="6"/>
      <c r="I87" s="6"/>
      <c r="J87" s="25"/>
      <c r="K87" s="52">
        <f t="shared" si="29"/>
        <v>0</v>
      </c>
      <c r="L87" s="19" t="e">
        <f t="shared" si="30"/>
        <v>#DIV/0!</v>
      </c>
    </row>
    <row r="88" spans="1:15" ht="18" customHeight="1" thickBot="1" x14ac:dyDescent="0.3">
      <c r="A88" s="213"/>
      <c r="B88" s="74">
        <f>B$8</f>
        <v>0</v>
      </c>
      <c r="C88" s="5"/>
      <c r="D88" s="6"/>
      <c r="E88" s="6"/>
      <c r="F88" s="6"/>
      <c r="G88" s="6"/>
      <c r="H88" s="6"/>
      <c r="I88" s="6"/>
      <c r="J88" s="25"/>
      <c r="K88" s="52">
        <f t="shared" si="29"/>
        <v>0</v>
      </c>
      <c r="L88" s="20" t="e">
        <f t="shared" si="30"/>
        <v>#DIV/0!</v>
      </c>
    </row>
    <row r="89" spans="1:15" ht="18" customHeight="1" x14ac:dyDescent="0.25">
      <c r="A89" s="213"/>
      <c r="B89" s="74">
        <f>B$9</f>
        <v>0</v>
      </c>
      <c r="C89" s="5"/>
      <c r="D89" s="42"/>
      <c r="E89" s="42"/>
      <c r="F89" s="42"/>
      <c r="G89" s="42"/>
      <c r="H89" s="42"/>
      <c r="I89" s="42"/>
      <c r="J89" s="67"/>
      <c r="K89" s="52">
        <f t="shared" si="29"/>
        <v>0</v>
      </c>
      <c r="L89" s="146" t="e">
        <f t="shared" ref="L89:L90" si="31">SUM(C89:J89)/$K$75</f>
        <v>#DIV/0!</v>
      </c>
    </row>
    <row r="90" spans="1:15" ht="18" customHeight="1" thickBot="1" x14ac:dyDescent="0.3">
      <c r="A90" s="214"/>
      <c r="B90" s="75">
        <f>B$10</f>
        <v>0</v>
      </c>
      <c r="C90" s="136"/>
      <c r="D90" s="137"/>
      <c r="E90" s="137"/>
      <c r="F90" s="137"/>
      <c r="G90" s="137"/>
      <c r="H90" s="137"/>
      <c r="I90" s="137"/>
      <c r="J90" s="138"/>
      <c r="K90" s="63">
        <f t="shared" si="29"/>
        <v>0</v>
      </c>
      <c r="L90" s="20" t="e">
        <f t="shared" si="31"/>
        <v>#DIV/0!</v>
      </c>
    </row>
    <row r="91" spans="1:15" ht="18" customHeight="1" thickBot="1" x14ac:dyDescent="0.3">
      <c r="A91" s="207" t="s">
        <v>28</v>
      </c>
      <c r="B91" s="208"/>
      <c r="C91" s="18">
        <f t="shared" ref="C91:J91" si="32">SUM(C83:C90)</f>
        <v>0</v>
      </c>
      <c r="D91" s="32">
        <f t="shared" si="32"/>
        <v>0</v>
      </c>
      <c r="E91" s="32">
        <f t="shared" si="32"/>
        <v>0</v>
      </c>
      <c r="F91" s="32">
        <f t="shared" si="32"/>
        <v>0</v>
      </c>
      <c r="G91" s="32">
        <f t="shared" si="32"/>
        <v>0</v>
      </c>
      <c r="H91" s="32">
        <f t="shared" si="32"/>
        <v>0</v>
      </c>
      <c r="I91" s="32">
        <f t="shared" si="32"/>
        <v>0</v>
      </c>
      <c r="J91" s="33">
        <f t="shared" si="32"/>
        <v>0</v>
      </c>
      <c r="K91" s="61">
        <f t="shared" ref="K91" si="33">SUM(K83:K90)</f>
        <v>0</v>
      </c>
      <c r="L91" s="143" t="e">
        <f t="shared" ref="L91" si="34">SUM(L83:L90)</f>
        <v>#DIV/0!</v>
      </c>
    </row>
    <row r="92" spans="1:15" ht="18" customHeight="1" thickBot="1" x14ac:dyDescent="0.3">
      <c r="A92" s="192" t="s">
        <v>29</v>
      </c>
      <c r="B92" s="193"/>
      <c r="C92" s="34" t="e">
        <f>C91/$K$91</f>
        <v>#DIV/0!</v>
      </c>
      <c r="D92" s="35" t="e">
        <f t="shared" ref="D92:J92" si="35">D91/$K$91</f>
        <v>#DIV/0!</v>
      </c>
      <c r="E92" s="35" t="e">
        <f t="shared" si="35"/>
        <v>#DIV/0!</v>
      </c>
      <c r="F92" s="35" t="e">
        <f t="shared" si="35"/>
        <v>#DIV/0!</v>
      </c>
      <c r="G92" s="35" t="e">
        <f t="shared" si="35"/>
        <v>#DIV/0!</v>
      </c>
      <c r="H92" s="35" t="e">
        <f t="shared" si="35"/>
        <v>#DIV/0!</v>
      </c>
      <c r="I92" s="35" t="e">
        <f t="shared" si="35"/>
        <v>#DIV/0!</v>
      </c>
      <c r="J92" s="36" t="e">
        <f t="shared" si="35"/>
        <v>#DIV/0!</v>
      </c>
      <c r="K92" s="28" t="e">
        <f>SUM(C92:J92)</f>
        <v>#DIV/0!</v>
      </c>
      <c r="L92" s="62"/>
    </row>
    <row r="93" spans="1:15" ht="18" customHeight="1" thickBot="1" x14ac:dyDescent="0.3">
      <c r="A93" s="194" t="s">
        <v>41</v>
      </c>
      <c r="B93" s="8" t="s">
        <v>42</v>
      </c>
      <c r="C93" s="139"/>
      <c r="D93" s="140"/>
      <c r="E93" s="140"/>
      <c r="F93" s="140"/>
      <c r="G93" s="140"/>
      <c r="H93" s="140"/>
      <c r="I93" s="140"/>
      <c r="J93" s="141"/>
      <c r="K93" s="215"/>
      <c r="L93" s="198"/>
    </row>
    <row r="94" spans="1:15" ht="18" customHeight="1" x14ac:dyDescent="0.25">
      <c r="A94" s="195"/>
      <c r="B94" s="9" t="s">
        <v>14</v>
      </c>
      <c r="C94" s="10"/>
      <c r="D94" s="11"/>
      <c r="E94" s="11"/>
      <c r="F94" s="11"/>
      <c r="G94" s="11"/>
      <c r="H94" s="11"/>
      <c r="I94" s="11"/>
      <c r="J94" s="12"/>
      <c r="K94" s="216"/>
      <c r="L94" s="200"/>
    </row>
    <row r="95" spans="1:15" ht="18" customHeight="1" thickBot="1" x14ac:dyDescent="0.3">
      <c r="A95" s="196"/>
      <c r="B95" s="13" t="s">
        <v>43</v>
      </c>
      <c r="C95" s="14"/>
      <c r="D95" s="15"/>
      <c r="E95" s="15"/>
      <c r="F95" s="15"/>
      <c r="G95" s="15"/>
      <c r="H95" s="15"/>
      <c r="I95" s="15"/>
      <c r="J95" s="16"/>
      <c r="K95" s="217"/>
      <c r="L95" s="202"/>
    </row>
    <row r="96" spans="1:15" ht="18" customHeight="1" thickBot="1" x14ac:dyDescent="0.3"/>
    <row r="97" spans="1:15" ht="18" customHeight="1" x14ac:dyDescent="0.25">
      <c r="A97" s="203"/>
      <c r="B97" s="204"/>
      <c r="C97" s="207" t="s">
        <v>27</v>
      </c>
      <c r="D97" s="208"/>
      <c r="E97" s="208"/>
      <c r="F97" s="208"/>
      <c r="G97" s="208"/>
      <c r="H97" s="208"/>
      <c r="I97" s="208"/>
      <c r="J97" s="209"/>
      <c r="K97" s="227" t="s">
        <v>28</v>
      </c>
      <c r="L97" s="210" t="s">
        <v>29</v>
      </c>
    </row>
    <row r="98" spans="1:15" ht="18" customHeight="1" thickBot="1" x14ac:dyDescent="0.3">
      <c r="A98" s="205"/>
      <c r="B98" s="206"/>
      <c r="C98" s="49" t="s">
        <v>31</v>
      </c>
      <c r="D98" s="1" t="s">
        <v>32</v>
      </c>
      <c r="E98" s="1" t="s">
        <v>33</v>
      </c>
      <c r="F98" s="1" t="s">
        <v>34</v>
      </c>
      <c r="G98" s="1" t="s">
        <v>35</v>
      </c>
      <c r="H98" s="1" t="s">
        <v>36</v>
      </c>
      <c r="I98" s="1" t="s">
        <v>37</v>
      </c>
      <c r="J98" s="50" t="s">
        <v>38</v>
      </c>
      <c r="K98" s="229"/>
      <c r="L98" s="200"/>
    </row>
    <row r="99" spans="1:15" ht="18" customHeight="1" thickBot="1" x14ac:dyDescent="0.3">
      <c r="A99" s="212" t="s">
        <v>39</v>
      </c>
      <c r="B99" s="73">
        <f>B$3</f>
        <v>0</v>
      </c>
      <c r="C99" s="2"/>
      <c r="D99" s="3"/>
      <c r="E99" s="3"/>
      <c r="F99" s="3"/>
      <c r="G99" s="3"/>
      <c r="H99" s="3"/>
      <c r="I99" s="3"/>
      <c r="J99" s="24"/>
      <c r="K99" s="51">
        <f t="shared" ref="K99:K106" si="36">SUM(C99:J99)</f>
        <v>0</v>
      </c>
      <c r="L99" s="4" t="e">
        <f>SUM(C99:J99)/$K$107</f>
        <v>#DIV/0!</v>
      </c>
    </row>
    <row r="100" spans="1:15" ht="18" customHeight="1" x14ac:dyDescent="0.25">
      <c r="A100" s="213"/>
      <c r="B100" s="74">
        <f>B$4</f>
        <v>0</v>
      </c>
      <c r="C100" s="5"/>
      <c r="D100" s="6"/>
      <c r="E100" s="6"/>
      <c r="F100" s="6"/>
      <c r="G100" s="6"/>
      <c r="H100" s="6"/>
      <c r="I100" s="6"/>
      <c r="J100" s="25"/>
      <c r="K100" s="52">
        <f t="shared" si="36"/>
        <v>0</v>
      </c>
      <c r="L100" s="19" t="e">
        <f t="shared" ref="L100:L104" si="37">SUM(C100:J100)/$K$107</f>
        <v>#DIV/0!</v>
      </c>
      <c r="N100" s="218" t="str">
        <f>TEXT(EOMONTH(DATEVALUE(N84&amp;"1"),0)+1,"mmmm")</f>
        <v>septiembre</v>
      </c>
      <c r="O100" s="219"/>
    </row>
    <row r="101" spans="1:15" ht="18" customHeight="1" x14ac:dyDescent="0.25">
      <c r="A101" s="213"/>
      <c r="B101" s="74">
        <f>B$5</f>
        <v>0</v>
      </c>
      <c r="C101" s="5"/>
      <c r="D101" s="6"/>
      <c r="E101" s="6"/>
      <c r="F101" s="6"/>
      <c r="G101" s="6"/>
      <c r="H101" s="6"/>
      <c r="I101" s="6"/>
      <c r="J101" s="25"/>
      <c r="K101" s="52">
        <f t="shared" si="36"/>
        <v>0</v>
      </c>
      <c r="L101" s="19" t="e">
        <f t="shared" si="37"/>
        <v>#DIV/0!</v>
      </c>
      <c r="N101" s="220"/>
      <c r="O101" s="206"/>
    </row>
    <row r="102" spans="1:15" ht="18" customHeight="1" x14ac:dyDescent="0.25">
      <c r="A102" s="213"/>
      <c r="B102" s="74">
        <f>B$6</f>
        <v>0</v>
      </c>
      <c r="C102" s="5"/>
      <c r="D102" s="6"/>
      <c r="E102" s="6"/>
      <c r="F102" s="6"/>
      <c r="G102" s="6"/>
      <c r="H102" s="6"/>
      <c r="I102" s="6"/>
      <c r="J102" s="25"/>
      <c r="K102" s="52">
        <f t="shared" si="36"/>
        <v>0</v>
      </c>
      <c r="L102" s="19" t="e">
        <f t="shared" si="37"/>
        <v>#DIV/0!</v>
      </c>
      <c r="N102" s="64"/>
      <c r="O102" s="64"/>
    </row>
    <row r="103" spans="1:15" ht="18" customHeight="1" x14ac:dyDescent="0.25">
      <c r="A103" s="213"/>
      <c r="B103" s="74">
        <f>B$7</f>
        <v>0</v>
      </c>
      <c r="C103" s="5"/>
      <c r="D103" s="6"/>
      <c r="E103" s="6"/>
      <c r="F103" s="6"/>
      <c r="G103" s="6"/>
      <c r="H103" s="6"/>
      <c r="I103" s="6"/>
      <c r="J103" s="25"/>
      <c r="K103" s="52">
        <f t="shared" si="36"/>
        <v>0</v>
      </c>
      <c r="L103" s="19" t="e">
        <f t="shared" si="37"/>
        <v>#DIV/0!</v>
      </c>
    </row>
    <row r="104" spans="1:15" ht="18" customHeight="1" thickBot="1" x14ac:dyDescent="0.3">
      <c r="A104" s="213"/>
      <c r="B104" s="74">
        <f>B$8</f>
        <v>0</v>
      </c>
      <c r="C104" s="5"/>
      <c r="D104" s="6"/>
      <c r="E104" s="6"/>
      <c r="F104" s="6"/>
      <c r="G104" s="6"/>
      <c r="H104" s="6"/>
      <c r="I104" s="6"/>
      <c r="J104" s="25"/>
      <c r="K104" s="52">
        <f t="shared" si="36"/>
        <v>0</v>
      </c>
      <c r="L104" s="20" t="e">
        <f t="shared" si="37"/>
        <v>#DIV/0!</v>
      </c>
    </row>
    <row r="105" spans="1:15" ht="18" customHeight="1" x14ac:dyDescent="0.25">
      <c r="A105" s="213"/>
      <c r="B105" s="74">
        <f>B$9</f>
        <v>0</v>
      </c>
      <c r="C105" s="5"/>
      <c r="D105" s="42"/>
      <c r="E105" s="42"/>
      <c r="F105" s="42"/>
      <c r="G105" s="42"/>
      <c r="H105" s="42"/>
      <c r="I105" s="42"/>
      <c r="J105" s="67"/>
      <c r="K105" s="52">
        <f t="shared" si="36"/>
        <v>0</v>
      </c>
      <c r="L105" s="146" t="e">
        <f t="shared" ref="L105:L106" si="38">SUM(C105:J105)/$K$75</f>
        <v>#DIV/0!</v>
      </c>
    </row>
    <row r="106" spans="1:15" ht="18" customHeight="1" thickBot="1" x14ac:dyDescent="0.3">
      <c r="A106" s="214"/>
      <c r="B106" s="75">
        <f>B$10</f>
        <v>0</v>
      </c>
      <c r="C106" s="136"/>
      <c r="D106" s="137"/>
      <c r="E106" s="137"/>
      <c r="F106" s="137"/>
      <c r="G106" s="137"/>
      <c r="H106" s="137"/>
      <c r="I106" s="137"/>
      <c r="J106" s="138"/>
      <c r="K106" s="63">
        <f t="shared" si="36"/>
        <v>0</v>
      </c>
      <c r="L106" s="20" t="e">
        <f t="shared" si="38"/>
        <v>#DIV/0!</v>
      </c>
    </row>
    <row r="107" spans="1:15" ht="18" customHeight="1" thickBot="1" x14ac:dyDescent="0.3">
      <c r="A107" s="207" t="s">
        <v>28</v>
      </c>
      <c r="B107" s="208"/>
      <c r="C107" s="18">
        <f t="shared" ref="C107:J107" si="39">SUM(C99:C106)</f>
        <v>0</v>
      </c>
      <c r="D107" s="32">
        <f t="shared" si="39"/>
        <v>0</v>
      </c>
      <c r="E107" s="32">
        <f t="shared" si="39"/>
        <v>0</v>
      </c>
      <c r="F107" s="32">
        <f t="shared" si="39"/>
        <v>0</v>
      </c>
      <c r="G107" s="32">
        <f t="shared" si="39"/>
        <v>0</v>
      </c>
      <c r="H107" s="32">
        <f t="shared" si="39"/>
        <v>0</v>
      </c>
      <c r="I107" s="32">
        <f t="shared" si="39"/>
        <v>0</v>
      </c>
      <c r="J107" s="33">
        <f t="shared" si="39"/>
        <v>0</v>
      </c>
      <c r="K107" s="61">
        <f t="shared" ref="K107" si="40">SUM(K99:K106)</f>
        <v>0</v>
      </c>
      <c r="L107" s="143" t="e">
        <f t="shared" ref="L107" si="41">SUM(L99:L106)</f>
        <v>#DIV/0!</v>
      </c>
    </row>
    <row r="108" spans="1:15" ht="18" customHeight="1" thickBot="1" x14ac:dyDescent="0.3">
      <c r="A108" s="192" t="s">
        <v>29</v>
      </c>
      <c r="B108" s="193"/>
      <c r="C108" s="34" t="e">
        <f>C107/$K$107</f>
        <v>#DIV/0!</v>
      </c>
      <c r="D108" s="35" t="e">
        <f t="shared" ref="D108:J108" si="42">D107/$K$107</f>
        <v>#DIV/0!</v>
      </c>
      <c r="E108" s="35" t="e">
        <f t="shared" si="42"/>
        <v>#DIV/0!</v>
      </c>
      <c r="F108" s="35" t="e">
        <f t="shared" si="42"/>
        <v>#DIV/0!</v>
      </c>
      <c r="G108" s="35" t="e">
        <f t="shared" si="42"/>
        <v>#DIV/0!</v>
      </c>
      <c r="H108" s="35" t="e">
        <f t="shared" si="42"/>
        <v>#DIV/0!</v>
      </c>
      <c r="I108" s="35" t="e">
        <f t="shared" si="42"/>
        <v>#DIV/0!</v>
      </c>
      <c r="J108" s="36" t="e">
        <f t="shared" si="42"/>
        <v>#DIV/0!</v>
      </c>
      <c r="K108" s="28" t="e">
        <f>SUM(C108:J108)</f>
        <v>#DIV/0!</v>
      </c>
      <c r="L108" s="62"/>
    </row>
    <row r="109" spans="1:15" ht="18" customHeight="1" thickBot="1" x14ac:dyDescent="0.3">
      <c r="A109" s="194" t="s">
        <v>41</v>
      </c>
      <c r="B109" s="8" t="s">
        <v>42</v>
      </c>
      <c r="C109" s="139"/>
      <c r="D109" s="140"/>
      <c r="E109" s="140"/>
      <c r="F109" s="140"/>
      <c r="G109" s="140"/>
      <c r="H109" s="140"/>
      <c r="I109" s="140"/>
      <c r="J109" s="141"/>
      <c r="K109" s="215"/>
      <c r="L109" s="198"/>
    </row>
    <row r="110" spans="1:15" ht="18" customHeight="1" x14ac:dyDescent="0.25">
      <c r="A110" s="195"/>
      <c r="B110" s="9" t="s">
        <v>14</v>
      </c>
      <c r="C110" s="10"/>
      <c r="D110" s="11"/>
      <c r="E110" s="11"/>
      <c r="F110" s="11"/>
      <c r="G110" s="11"/>
      <c r="H110" s="11"/>
      <c r="I110" s="11"/>
      <c r="J110" s="12"/>
      <c r="K110" s="216"/>
      <c r="L110" s="200"/>
    </row>
    <row r="111" spans="1:15" ht="18" customHeight="1" thickBot="1" x14ac:dyDescent="0.3">
      <c r="A111" s="196"/>
      <c r="B111" s="13" t="s">
        <v>43</v>
      </c>
      <c r="C111" s="14"/>
      <c r="D111" s="15"/>
      <c r="E111" s="15"/>
      <c r="F111" s="15"/>
      <c r="G111" s="15"/>
      <c r="H111" s="15"/>
      <c r="I111" s="15"/>
      <c r="J111" s="16"/>
      <c r="K111" s="217"/>
      <c r="L111" s="202"/>
    </row>
    <row r="112" spans="1:15" ht="18" customHeight="1" thickBot="1" x14ac:dyDescent="0.3"/>
    <row r="113" spans="1:15" ht="18" customHeight="1" x14ac:dyDescent="0.25">
      <c r="A113" s="203"/>
      <c r="B113" s="204"/>
      <c r="C113" s="207" t="s">
        <v>27</v>
      </c>
      <c r="D113" s="208"/>
      <c r="E113" s="208"/>
      <c r="F113" s="208"/>
      <c r="G113" s="208"/>
      <c r="H113" s="208"/>
      <c r="I113" s="208"/>
      <c r="J113" s="209"/>
      <c r="K113" s="227" t="s">
        <v>28</v>
      </c>
      <c r="L113" s="210" t="s">
        <v>29</v>
      </c>
    </row>
    <row r="114" spans="1:15" ht="18" customHeight="1" thickBot="1" x14ac:dyDescent="0.3">
      <c r="A114" s="205"/>
      <c r="B114" s="206"/>
      <c r="C114" s="49" t="s">
        <v>31</v>
      </c>
      <c r="D114" s="1" t="s">
        <v>32</v>
      </c>
      <c r="E114" s="1" t="s">
        <v>33</v>
      </c>
      <c r="F114" s="1" t="s">
        <v>34</v>
      </c>
      <c r="G114" s="1" t="s">
        <v>35</v>
      </c>
      <c r="H114" s="1" t="s">
        <v>36</v>
      </c>
      <c r="I114" s="1" t="s">
        <v>37</v>
      </c>
      <c r="J114" s="50" t="s">
        <v>38</v>
      </c>
      <c r="K114" s="229"/>
      <c r="L114" s="200"/>
    </row>
    <row r="115" spans="1:15" ht="18" customHeight="1" thickBot="1" x14ac:dyDescent="0.3">
      <c r="A115" s="212" t="s">
        <v>39</v>
      </c>
      <c r="B115" s="73">
        <f>B$3</f>
        <v>0</v>
      </c>
      <c r="C115" s="2"/>
      <c r="D115" s="3"/>
      <c r="E115" s="3"/>
      <c r="F115" s="3"/>
      <c r="G115" s="3"/>
      <c r="H115" s="3"/>
      <c r="I115" s="3"/>
      <c r="J115" s="24"/>
      <c r="K115" s="51">
        <f t="shared" ref="K115:K122" si="43">SUM(C115:J115)</f>
        <v>0</v>
      </c>
      <c r="L115" s="4" t="e">
        <f>SUM(C115:J115)/$K$123</f>
        <v>#DIV/0!</v>
      </c>
    </row>
    <row r="116" spans="1:15" ht="18" customHeight="1" x14ac:dyDescent="0.25">
      <c r="A116" s="213"/>
      <c r="B116" s="74">
        <f>B$4</f>
        <v>0</v>
      </c>
      <c r="C116" s="5"/>
      <c r="D116" s="6"/>
      <c r="E116" s="6"/>
      <c r="F116" s="6"/>
      <c r="G116" s="6"/>
      <c r="H116" s="6"/>
      <c r="I116" s="6"/>
      <c r="J116" s="25"/>
      <c r="K116" s="52">
        <f t="shared" si="43"/>
        <v>0</v>
      </c>
      <c r="L116" s="19" t="e">
        <f t="shared" ref="L116:L120" si="44">SUM(C116:J116)/$K$123</f>
        <v>#DIV/0!</v>
      </c>
      <c r="N116" s="218" t="str">
        <f>TEXT(EOMONTH(DATEVALUE(N100&amp;"1"),0)+1,"mmmm")</f>
        <v>octubre</v>
      </c>
      <c r="O116" s="219"/>
    </row>
    <row r="117" spans="1:15" ht="18" customHeight="1" x14ac:dyDescent="0.25">
      <c r="A117" s="213"/>
      <c r="B117" s="74">
        <f>B$5</f>
        <v>0</v>
      </c>
      <c r="C117" s="5"/>
      <c r="D117" s="6"/>
      <c r="E117" s="6"/>
      <c r="F117" s="6"/>
      <c r="G117" s="6"/>
      <c r="H117" s="6"/>
      <c r="I117" s="6"/>
      <c r="J117" s="25"/>
      <c r="K117" s="52">
        <f t="shared" si="43"/>
        <v>0</v>
      </c>
      <c r="L117" s="19" t="e">
        <f t="shared" si="44"/>
        <v>#DIV/0!</v>
      </c>
      <c r="N117" s="220"/>
      <c r="O117" s="206"/>
    </row>
    <row r="118" spans="1:15" ht="18" customHeight="1" x14ac:dyDescent="0.25">
      <c r="A118" s="213"/>
      <c r="B118" s="74">
        <f>B$6</f>
        <v>0</v>
      </c>
      <c r="C118" s="5"/>
      <c r="D118" s="6"/>
      <c r="E118" s="6"/>
      <c r="F118" s="6"/>
      <c r="G118" s="6"/>
      <c r="H118" s="6"/>
      <c r="I118" s="6"/>
      <c r="J118" s="25"/>
      <c r="K118" s="52">
        <f t="shared" si="43"/>
        <v>0</v>
      </c>
      <c r="L118" s="19" t="e">
        <f t="shared" si="44"/>
        <v>#DIV/0!</v>
      </c>
    </row>
    <row r="119" spans="1:15" ht="18" customHeight="1" x14ac:dyDescent="0.25">
      <c r="A119" s="213"/>
      <c r="B119" s="74">
        <f>B$7</f>
        <v>0</v>
      </c>
      <c r="C119" s="5"/>
      <c r="D119" s="6"/>
      <c r="E119" s="6"/>
      <c r="F119" s="6"/>
      <c r="G119" s="6"/>
      <c r="H119" s="6"/>
      <c r="I119" s="6"/>
      <c r="J119" s="25"/>
      <c r="K119" s="52">
        <f t="shared" si="43"/>
        <v>0</v>
      </c>
      <c r="L119" s="19" t="e">
        <f t="shared" si="44"/>
        <v>#DIV/0!</v>
      </c>
    </row>
    <row r="120" spans="1:15" ht="18" customHeight="1" thickBot="1" x14ac:dyDescent="0.3">
      <c r="A120" s="213"/>
      <c r="B120" s="74">
        <f>B$8</f>
        <v>0</v>
      </c>
      <c r="C120" s="5"/>
      <c r="D120" s="6"/>
      <c r="E120" s="6"/>
      <c r="F120" s="6"/>
      <c r="G120" s="6"/>
      <c r="H120" s="6"/>
      <c r="I120" s="6"/>
      <c r="J120" s="25"/>
      <c r="K120" s="52">
        <f t="shared" si="43"/>
        <v>0</v>
      </c>
      <c r="L120" s="20" t="e">
        <f t="shared" si="44"/>
        <v>#DIV/0!</v>
      </c>
    </row>
    <row r="121" spans="1:15" ht="18" customHeight="1" x14ac:dyDescent="0.25">
      <c r="A121" s="213"/>
      <c r="B121" s="74">
        <f>B$9</f>
        <v>0</v>
      </c>
      <c r="C121" s="5"/>
      <c r="D121" s="42"/>
      <c r="E121" s="42"/>
      <c r="F121" s="42"/>
      <c r="G121" s="42"/>
      <c r="H121" s="42"/>
      <c r="I121" s="42"/>
      <c r="J121" s="67"/>
      <c r="K121" s="52">
        <f t="shared" si="43"/>
        <v>0</v>
      </c>
      <c r="L121" s="146" t="e">
        <f t="shared" ref="L121:L122" si="45">SUM(C121:J121)/$K$75</f>
        <v>#DIV/0!</v>
      </c>
    </row>
    <row r="122" spans="1:15" ht="18" customHeight="1" thickBot="1" x14ac:dyDescent="0.3">
      <c r="A122" s="214"/>
      <c r="B122" s="75">
        <f>B$10</f>
        <v>0</v>
      </c>
      <c r="C122" s="136"/>
      <c r="D122" s="137"/>
      <c r="E122" s="137"/>
      <c r="F122" s="137"/>
      <c r="G122" s="137"/>
      <c r="H122" s="137"/>
      <c r="I122" s="137"/>
      <c r="J122" s="138"/>
      <c r="K122" s="63">
        <f t="shared" si="43"/>
        <v>0</v>
      </c>
      <c r="L122" s="20" t="e">
        <f t="shared" si="45"/>
        <v>#DIV/0!</v>
      </c>
    </row>
    <row r="123" spans="1:15" ht="18" customHeight="1" thickBot="1" x14ac:dyDescent="0.3">
      <c r="A123" s="207" t="s">
        <v>28</v>
      </c>
      <c r="B123" s="208"/>
      <c r="C123" s="18">
        <f t="shared" ref="C123:J123" si="46">SUM(C115:C122)</f>
        <v>0</v>
      </c>
      <c r="D123" s="32">
        <f t="shared" si="46"/>
        <v>0</v>
      </c>
      <c r="E123" s="32">
        <f t="shared" si="46"/>
        <v>0</v>
      </c>
      <c r="F123" s="32">
        <f t="shared" si="46"/>
        <v>0</v>
      </c>
      <c r="G123" s="32">
        <f t="shared" si="46"/>
        <v>0</v>
      </c>
      <c r="H123" s="32">
        <f t="shared" si="46"/>
        <v>0</v>
      </c>
      <c r="I123" s="32">
        <f t="shared" si="46"/>
        <v>0</v>
      </c>
      <c r="J123" s="33">
        <f t="shared" si="46"/>
        <v>0</v>
      </c>
      <c r="K123" s="61">
        <f t="shared" ref="K123" si="47">SUM(K115:K122)</f>
        <v>0</v>
      </c>
      <c r="L123" s="143" t="e">
        <f t="shared" ref="L123" si="48">SUM(L115:L122)</f>
        <v>#DIV/0!</v>
      </c>
    </row>
    <row r="124" spans="1:15" ht="18" customHeight="1" thickBot="1" x14ac:dyDescent="0.3">
      <c r="A124" s="192" t="s">
        <v>29</v>
      </c>
      <c r="B124" s="193"/>
      <c r="C124" s="34" t="e">
        <f>C123/$K$123</f>
        <v>#DIV/0!</v>
      </c>
      <c r="D124" s="35" t="e">
        <f t="shared" ref="D124:J124" si="49">D123/$K$123</f>
        <v>#DIV/0!</v>
      </c>
      <c r="E124" s="35" t="e">
        <f t="shared" si="49"/>
        <v>#DIV/0!</v>
      </c>
      <c r="F124" s="35" t="e">
        <f t="shared" si="49"/>
        <v>#DIV/0!</v>
      </c>
      <c r="G124" s="35" t="e">
        <f t="shared" si="49"/>
        <v>#DIV/0!</v>
      </c>
      <c r="H124" s="35" t="e">
        <f t="shared" si="49"/>
        <v>#DIV/0!</v>
      </c>
      <c r="I124" s="35" t="e">
        <f t="shared" si="49"/>
        <v>#DIV/0!</v>
      </c>
      <c r="J124" s="36" t="e">
        <f t="shared" si="49"/>
        <v>#DIV/0!</v>
      </c>
      <c r="K124" s="28" t="e">
        <f>SUM(C124:J124)</f>
        <v>#DIV/0!</v>
      </c>
      <c r="L124" s="62"/>
    </row>
    <row r="125" spans="1:15" ht="18" customHeight="1" thickBot="1" x14ac:dyDescent="0.3">
      <c r="A125" s="194" t="s">
        <v>41</v>
      </c>
      <c r="B125" s="8" t="s">
        <v>42</v>
      </c>
      <c r="C125" s="139"/>
      <c r="D125" s="140"/>
      <c r="E125" s="140"/>
      <c r="F125" s="140"/>
      <c r="G125" s="140"/>
      <c r="H125" s="140"/>
      <c r="I125" s="140"/>
      <c r="J125" s="141"/>
      <c r="K125" s="215"/>
      <c r="L125" s="198"/>
    </row>
    <row r="126" spans="1:15" ht="18" customHeight="1" x14ac:dyDescent="0.25">
      <c r="A126" s="195"/>
      <c r="B126" s="9" t="s">
        <v>14</v>
      </c>
      <c r="C126" s="10"/>
      <c r="D126" s="11"/>
      <c r="E126" s="11"/>
      <c r="F126" s="11"/>
      <c r="G126" s="11"/>
      <c r="H126" s="11"/>
      <c r="I126" s="11"/>
      <c r="J126" s="12"/>
      <c r="K126" s="216"/>
      <c r="L126" s="200"/>
    </row>
    <row r="127" spans="1:15" ht="18" customHeight="1" thickBot="1" x14ac:dyDescent="0.3">
      <c r="A127" s="196"/>
      <c r="B127" s="13" t="s">
        <v>43</v>
      </c>
      <c r="C127" s="14"/>
      <c r="D127" s="15"/>
      <c r="E127" s="15"/>
      <c r="F127" s="15"/>
      <c r="G127" s="15"/>
      <c r="H127" s="15"/>
      <c r="I127" s="15"/>
      <c r="J127" s="16"/>
      <c r="K127" s="217"/>
      <c r="L127" s="202"/>
    </row>
    <row r="128" spans="1:15" ht="18" customHeight="1" thickBot="1" x14ac:dyDescent="0.3"/>
    <row r="129" spans="1:15" ht="18" customHeight="1" x14ac:dyDescent="0.25">
      <c r="A129" s="203"/>
      <c r="B129" s="204"/>
      <c r="C129" s="207" t="s">
        <v>27</v>
      </c>
      <c r="D129" s="208"/>
      <c r="E129" s="208"/>
      <c r="F129" s="208"/>
      <c r="G129" s="208"/>
      <c r="H129" s="208"/>
      <c r="I129" s="208"/>
      <c r="J129" s="209"/>
      <c r="K129" s="227" t="s">
        <v>28</v>
      </c>
      <c r="L129" s="210" t="s">
        <v>29</v>
      </c>
    </row>
    <row r="130" spans="1:15" ht="18" customHeight="1" thickBot="1" x14ac:dyDescent="0.3">
      <c r="A130" s="205"/>
      <c r="B130" s="206"/>
      <c r="C130" s="49" t="s">
        <v>31</v>
      </c>
      <c r="D130" s="1" t="s">
        <v>32</v>
      </c>
      <c r="E130" s="1" t="s">
        <v>33</v>
      </c>
      <c r="F130" s="1" t="s">
        <v>34</v>
      </c>
      <c r="G130" s="1" t="s">
        <v>35</v>
      </c>
      <c r="H130" s="1" t="s">
        <v>36</v>
      </c>
      <c r="I130" s="1" t="s">
        <v>37</v>
      </c>
      <c r="J130" s="50" t="s">
        <v>38</v>
      </c>
      <c r="K130" s="229"/>
      <c r="L130" s="200"/>
    </row>
    <row r="131" spans="1:15" ht="18" customHeight="1" thickBot="1" x14ac:dyDescent="0.3">
      <c r="A131" s="212" t="s">
        <v>39</v>
      </c>
      <c r="B131" s="73">
        <f>B$3</f>
        <v>0</v>
      </c>
      <c r="C131" s="2"/>
      <c r="D131" s="3"/>
      <c r="E131" s="3"/>
      <c r="F131" s="3"/>
      <c r="G131" s="3"/>
      <c r="H131" s="3"/>
      <c r="I131" s="3"/>
      <c r="J131" s="24"/>
      <c r="K131" s="51">
        <f t="shared" ref="K131:K138" si="50">SUM(C131:J131)</f>
        <v>0</v>
      </c>
      <c r="L131" s="4" t="e">
        <f>SUM(C131:J131)/$K$139</f>
        <v>#DIV/0!</v>
      </c>
    </row>
    <row r="132" spans="1:15" ht="18" customHeight="1" x14ac:dyDescent="0.25">
      <c r="A132" s="213"/>
      <c r="B132" s="74">
        <f>B$4</f>
        <v>0</v>
      </c>
      <c r="C132" s="5"/>
      <c r="D132" s="6"/>
      <c r="E132" s="6"/>
      <c r="F132" s="6"/>
      <c r="G132" s="6"/>
      <c r="H132" s="6"/>
      <c r="I132" s="6"/>
      <c r="J132" s="25"/>
      <c r="K132" s="52">
        <f t="shared" si="50"/>
        <v>0</v>
      </c>
      <c r="L132" s="19" t="e">
        <f t="shared" ref="L132:L138" si="51">SUM(C132:J132)/$K$139</f>
        <v>#DIV/0!</v>
      </c>
      <c r="N132" s="218" t="str">
        <f>TEXT(EOMONTH(DATEVALUE(N116&amp;"1"),0)+1,"mmmm")</f>
        <v>noviembre</v>
      </c>
      <c r="O132" s="219"/>
    </row>
    <row r="133" spans="1:15" ht="18" customHeight="1" x14ac:dyDescent="0.25">
      <c r="A133" s="213"/>
      <c r="B133" s="74">
        <f>B$5</f>
        <v>0</v>
      </c>
      <c r="C133" s="5"/>
      <c r="D133" s="6"/>
      <c r="E133" s="6"/>
      <c r="F133" s="6"/>
      <c r="G133" s="6"/>
      <c r="H133" s="6"/>
      <c r="I133" s="6"/>
      <c r="J133" s="25"/>
      <c r="K133" s="52">
        <f t="shared" si="50"/>
        <v>0</v>
      </c>
      <c r="L133" s="19" t="e">
        <f t="shared" si="51"/>
        <v>#DIV/0!</v>
      </c>
      <c r="N133" s="220"/>
      <c r="O133" s="206"/>
    </row>
    <row r="134" spans="1:15" ht="18" customHeight="1" x14ac:dyDescent="0.25">
      <c r="A134" s="213"/>
      <c r="B134" s="74">
        <f>B$6</f>
        <v>0</v>
      </c>
      <c r="C134" s="5"/>
      <c r="D134" s="6"/>
      <c r="E134" s="6"/>
      <c r="F134" s="6"/>
      <c r="G134" s="6"/>
      <c r="H134" s="6"/>
      <c r="I134" s="6"/>
      <c r="J134" s="25"/>
      <c r="K134" s="52">
        <f t="shared" si="50"/>
        <v>0</v>
      </c>
      <c r="L134" s="19" t="e">
        <f t="shared" si="51"/>
        <v>#DIV/0!</v>
      </c>
    </row>
    <row r="135" spans="1:15" ht="18" customHeight="1" x14ac:dyDescent="0.25">
      <c r="A135" s="213"/>
      <c r="B135" s="74">
        <f>B$7</f>
        <v>0</v>
      </c>
      <c r="C135" s="5"/>
      <c r="D135" s="6"/>
      <c r="E135" s="6"/>
      <c r="F135" s="6"/>
      <c r="G135" s="6"/>
      <c r="H135" s="6"/>
      <c r="I135" s="6"/>
      <c r="J135" s="25"/>
      <c r="K135" s="52">
        <f t="shared" si="50"/>
        <v>0</v>
      </c>
      <c r="L135" s="19" t="e">
        <f t="shared" si="51"/>
        <v>#DIV/0!</v>
      </c>
    </row>
    <row r="136" spans="1:15" ht="18" customHeight="1" thickBot="1" x14ac:dyDescent="0.3">
      <c r="A136" s="213"/>
      <c r="B136" s="74">
        <f>B$8</f>
        <v>0</v>
      </c>
      <c r="C136" s="5"/>
      <c r="D136" s="6"/>
      <c r="E136" s="6"/>
      <c r="F136" s="6"/>
      <c r="G136" s="6"/>
      <c r="H136" s="6"/>
      <c r="I136" s="6"/>
      <c r="J136" s="25"/>
      <c r="K136" s="52">
        <f t="shared" si="50"/>
        <v>0</v>
      </c>
      <c r="L136" s="20" t="e">
        <f t="shared" si="51"/>
        <v>#DIV/0!</v>
      </c>
    </row>
    <row r="137" spans="1:15" ht="18" customHeight="1" thickBot="1" x14ac:dyDescent="0.3">
      <c r="A137" s="213"/>
      <c r="B137" s="74">
        <f>B$9</f>
        <v>0</v>
      </c>
      <c r="C137" s="5"/>
      <c r="D137" s="42"/>
      <c r="E137" s="42"/>
      <c r="F137" s="42"/>
      <c r="G137" s="42"/>
      <c r="H137" s="42"/>
      <c r="I137" s="42"/>
      <c r="J137" s="67"/>
      <c r="K137" s="52">
        <f t="shared" si="50"/>
        <v>0</v>
      </c>
      <c r="L137" s="146" t="e">
        <f t="shared" si="51"/>
        <v>#DIV/0!</v>
      </c>
    </row>
    <row r="138" spans="1:15" ht="18" customHeight="1" thickBot="1" x14ac:dyDescent="0.3">
      <c r="A138" s="214"/>
      <c r="B138" s="75">
        <f>B$10</f>
        <v>0</v>
      </c>
      <c r="C138" s="136"/>
      <c r="D138" s="137"/>
      <c r="E138" s="137"/>
      <c r="F138" s="137"/>
      <c r="G138" s="137"/>
      <c r="H138" s="137"/>
      <c r="I138" s="137"/>
      <c r="J138" s="138"/>
      <c r="K138" s="63">
        <f t="shared" si="50"/>
        <v>0</v>
      </c>
      <c r="L138" s="147" t="e">
        <f t="shared" si="51"/>
        <v>#DIV/0!</v>
      </c>
    </row>
    <row r="139" spans="1:15" ht="18" customHeight="1" thickBot="1" x14ac:dyDescent="0.3">
      <c r="A139" s="207" t="s">
        <v>28</v>
      </c>
      <c r="B139" s="208"/>
      <c r="C139" s="18">
        <f t="shared" ref="C139:J139" si="52">SUM(C131:C138)</f>
        <v>0</v>
      </c>
      <c r="D139" s="32">
        <f t="shared" si="52"/>
        <v>0</v>
      </c>
      <c r="E139" s="32">
        <f t="shared" si="52"/>
        <v>0</v>
      </c>
      <c r="F139" s="32">
        <f t="shared" si="52"/>
        <v>0</v>
      </c>
      <c r="G139" s="32">
        <f t="shared" si="52"/>
        <v>0</v>
      </c>
      <c r="H139" s="32">
        <f t="shared" si="52"/>
        <v>0</v>
      </c>
      <c r="I139" s="32">
        <f t="shared" si="52"/>
        <v>0</v>
      </c>
      <c r="J139" s="33">
        <f t="shared" si="52"/>
        <v>0</v>
      </c>
      <c r="K139" s="61">
        <f t="shared" ref="K139" si="53">SUM(K131:K138)</f>
        <v>0</v>
      </c>
      <c r="L139" s="143" t="e">
        <f t="shared" ref="L139" si="54">SUM(L131:L138)</f>
        <v>#DIV/0!</v>
      </c>
    </row>
    <row r="140" spans="1:15" ht="18" customHeight="1" thickBot="1" x14ac:dyDescent="0.3">
      <c r="A140" s="192" t="s">
        <v>29</v>
      </c>
      <c r="B140" s="193"/>
      <c r="C140" s="34" t="e">
        <f>C139/$K$139</f>
        <v>#DIV/0!</v>
      </c>
      <c r="D140" s="35" t="e">
        <f t="shared" ref="D140:J140" si="55">D139/$K$139</f>
        <v>#DIV/0!</v>
      </c>
      <c r="E140" s="35" t="e">
        <f t="shared" si="55"/>
        <v>#DIV/0!</v>
      </c>
      <c r="F140" s="35" t="e">
        <f t="shared" si="55"/>
        <v>#DIV/0!</v>
      </c>
      <c r="G140" s="35" t="e">
        <f t="shared" si="55"/>
        <v>#DIV/0!</v>
      </c>
      <c r="H140" s="35" t="e">
        <f t="shared" si="55"/>
        <v>#DIV/0!</v>
      </c>
      <c r="I140" s="35" t="e">
        <f t="shared" si="55"/>
        <v>#DIV/0!</v>
      </c>
      <c r="J140" s="36" t="e">
        <f t="shared" si="55"/>
        <v>#DIV/0!</v>
      </c>
      <c r="K140" s="28" t="e">
        <f>SUM(C140:J140)</f>
        <v>#DIV/0!</v>
      </c>
      <c r="L140" s="62"/>
    </row>
    <row r="141" spans="1:15" ht="18" customHeight="1" thickBot="1" x14ac:dyDescent="0.3">
      <c r="A141" s="194" t="s">
        <v>41</v>
      </c>
      <c r="B141" s="8" t="s">
        <v>42</v>
      </c>
      <c r="C141" s="139"/>
      <c r="D141" s="140"/>
      <c r="E141" s="140"/>
      <c r="F141" s="140"/>
      <c r="G141" s="140"/>
      <c r="H141" s="140"/>
      <c r="I141" s="140"/>
      <c r="J141" s="141"/>
      <c r="K141" s="215"/>
      <c r="L141" s="198"/>
    </row>
    <row r="142" spans="1:15" ht="18" customHeight="1" x14ac:dyDescent="0.25">
      <c r="A142" s="195"/>
      <c r="B142" s="9" t="s">
        <v>14</v>
      </c>
      <c r="C142" s="10"/>
      <c r="D142" s="11"/>
      <c r="E142" s="11"/>
      <c r="F142" s="11"/>
      <c r="G142" s="11"/>
      <c r="H142" s="11"/>
      <c r="I142" s="11"/>
      <c r="J142" s="12"/>
      <c r="K142" s="216"/>
      <c r="L142" s="200"/>
    </row>
    <row r="143" spans="1:15" ht="18" customHeight="1" thickBot="1" x14ac:dyDescent="0.3">
      <c r="A143" s="196"/>
      <c r="B143" s="13" t="s">
        <v>43</v>
      </c>
      <c r="C143" s="14"/>
      <c r="D143" s="15"/>
      <c r="E143" s="15"/>
      <c r="F143" s="15"/>
      <c r="G143" s="15"/>
      <c r="H143" s="15"/>
      <c r="I143" s="15"/>
      <c r="J143" s="16"/>
      <c r="K143" s="217"/>
      <c r="L143" s="202"/>
    </row>
    <row r="144" spans="1:15" ht="18" customHeight="1" thickBot="1" x14ac:dyDescent="0.3"/>
    <row r="145" spans="1:15" ht="18" customHeight="1" x14ac:dyDescent="0.25">
      <c r="A145" s="203"/>
      <c r="B145" s="204"/>
      <c r="C145" s="207" t="s">
        <v>27</v>
      </c>
      <c r="D145" s="208"/>
      <c r="E145" s="208"/>
      <c r="F145" s="208"/>
      <c r="G145" s="208"/>
      <c r="H145" s="208"/>
      <c r="I145" s="208"/>
      <c r="J145" s="209"/>
      <c r="K145" s="227" t="s">
        <v>28</v>
      </c>
      <c r="L145" s="210" t="s">
        <v>29</v>
      </c>
    </row>
    <row r="146" spans="1:15" ht="18" customHeight="1" thickBot="1" x14ac:dyDescent="0.3">
      <c r="A146" s="205"/>
      <c r="B146" s="206"/>
      <c r="C146" s="49" t="s">
        <v>31</v>
      </c>
      <c r="D146" s="1" t="s">
        <v>32</v>
      </c>
      <c r="E146" s="1" t="s">
        <v>33</v>
      </c>
      <c r="F146" s="1" t="s">
        <v>34</v>
      </c>
      <c r="G146" s="1" t="s">
        <v>35</v>
      </c>
      <c r="H146" s="1" t="s">
        <v>36</v>
      </c>
      <c r="I146" s="1" t="s">
        <v>37</v>
      </c>
      <c r="J146" s="50" t="s">
        <v>38</v>
      </c>
      <c r="K146" s="229"/>
      <c r="L146" s="200"/>
    </row>
    <row r="147" spans="1:15" ht="18" customHeight="1" thickBot="1" x14ac:dyDescent="0.3">
      <c r="A147" s="212" t="s">
        <v>39</v>
      </c>
      <c r="B147" s="73">
        <f>B$3</f>
        <v>0</v>
      </c>
      <c r="C147" s="2"/>
      <c r="D147" s="3"/>
      <c r="E147" s="3"/>
      <c r="F147" s="3"/>
      <c r="G147" s="3"/>
      <c r="H147" s="3"/>
      <c r="I147" s="3"/>
      <c r="J147" s="24"/>
      <c r="K147" s="51">
        <f t="shared" ref="K147:K154" si="56">SUM(C147:J147)</f>
        <v>0</v>
      </c>
      <c r="L147" s="4" t="e">
        <f>SUM(C147:J147)/$K$155</f>
        <v>#DIV/0!</v>
      </c>
    </row>
    <row r="148" spans="1:15" ht="18" customHeight="1" x14ac:dyDescent="0.25">
      <c r="A148" s="213"/>
      <c r="B148" s="74">
        <f>B$4</f>
        <v>0</v>
      </c>
      <c r="C148" s="5"/>
      <c r="D148" s="6"/>
      <c r="E148" s="6"/>
      <c r="F148" s="6"/>
      <c r="G148" s="6"/>
      <c r="H148" s="6"/>
      <c r="I148" s="6"/>
      <c r="J148" s="25"/>
      <c r="K148" s="52">
        <f t="shared" si="56"/>
        <v>0</v>
      </c>
      <c r="L148" s="19" t="e">
        <f t="shared" ref="L148:L154" si="57">SUM(C148:J148)/$K$155</f>
        <v>#DIV/0!</v>
      </c>
      <c r="N148" s="218" t="str">
        <f>TEXT(EOMONTH(DATEVALUE(N132&amp;"1"),0)+1,"mmmm")</f>
        <v>diciembre</v>
      </c>
      <c r="O148" s="219"/>
    </row>
    <row r="149" spans="1:15" ht="18" customHeight="1" x14ac:dyDescent="0.25">
      <c r="A149" s="213"/>
      <c r="B149" s="74">
        <f>B$5</f>
        <v>0</v>
      </c>
      <c r="C149" s="5"/>
      <c r="D149" s="6"/>
      <c r="E149" s="6"/>
      <c r="F149" s="6"/>
      <c r="G149" s="6"/>
      <c r="H149" s="6"/>
      <c r="I149" s="6"/>
      <c r="J149" s="25"/>
      <c r="K149" s="52">
        <f t="shared" si="56"/>
        <v>0</v>
      </c>
      <c r="L149" s="19" t="e">
        <f t="shared" si="57"/>
        <v>#DIV/0!</v>
      </c>
      <c r="N149" s="220"/>
      <c r="O149" s="206"/>
    </row>
    <row r="150" spans="1:15" ht="18" customHeight="1" x14ac:dyDescent="0.25">
      <c r="A150" s="213"/>
      <c r="B150" s="74">
        <f>B$6</f>
        <v>0</v>
      </c>
      <c r="C150" s="5"/>
      <c r="D150" s="6"/>
      <c r="E150" s="6"/>
      <c r="F150" s="6"/>
      <c r="G150" s="6"/>
      <c r="H150" s="6"/>
      <c r="I150" s="6"/>
      <c r="J150" s="25"/>
      <c r="K150" s="52">
        <f t="shared" si="56"/>
        <v>0</v>
      </c>
      <c r="L150" s="19" t="e">
        <f t="shared" si="57"/>
        <v>#DIV/0!</v>
      </c>
    </row>
    <row r="151" spans="1:15" ht="18" customHeight="1" x14ac:dyDescent="0.25">
      <c r="A151" s="213"/>
      <c r="B151" s="74">
        <f>B$7</f>
        <v>0</v>
      </c>
      <c r="C151" s="5"/>
      <c r="D151" s="6"/>
      <c r="E151" s="6"/>
      <c r="F151" s="6"/>
      <c r="G151" s="6"/>
      <c r="H151" s="6"/>
      <c r="I151" s="6"/>
      <c r="J151" s="25"/>
      <c r="K151" s="52">
        <f t="shared" si="56"/>
        <v>0</v>
      </c>
      <c r="L151" s="19" t="e">
        <f t="shared" si="57"/>
        <v>#DIV/0!</v>
      </c>
    </row>
    <row r="152" spans="1:15" ht="18" customHeight="1" x14ac:dyDescent="0.25">
      <c r="A152" s="213"/>
      <c r="B152" s="74">
        <f>B$8</f>
        <v>0</v>
      </c>
      <c r="C152" s="5"/>
      <c r="D152" s="6"/>
      <c r="E152" s="6"/>
      <c r="F152" s="6"/>
      <c r="G152" s="6"/>
      <c r="H152" s="6"/>
      <c r="I152" s="6"/>
      <c r="J152" s="25"/>
      <c r="K152" s="52">
        <f t="shared" si="56"/>
        <v>0</v>
      </c>
      <c r="L152" s="19" t="e">
        <f t="shared" si="57"/>
        <v>#DIV/0!</v>
      </c>
    </row>
    <row r="153" spans="1:15" ht="18" customHeight="1" x14ac:dyDescent="0.25">
      <c r="A153" s="213"/>
      <c r="B153" s="74">
        <f>B$9</f>
        <v>0</v>
      </c>
      <c r="C153" s="5"/>
      <c r="D153" s="42"/>
      <c r="E153" s="42"/>
      <c r="F153" s="42"/>
      <c r="G153" s="42"/>
      <c r="H153" s="42"/>
      <c r="I153" s="42"/>
      <c r="J153" s="67"/>
      <c r="K153" s="52">
        <f t="shared" si="56"/>
        <v>0</v>
      </c>
      <c r="L153" s="19" t="e">
        <f t="shared" si="57"/>
        <v>#DIV/0!</v>
      </c>
    </row>
    <row r="154" spans="1:15" ht="18" customHeight="1" thickBot="1" x14ac:dyDescent="0.3">
      <c r="A154" s="214"/>
      <c r="B154" s="75">
        <f>B$10</f>
        <v>0</v>
      </c>
      <c r="C154" s="136"/>
      <c r="D154" s="137"/>
      <c r="E154" s="137"/>
      <c r="F154" s="137"/>
      <c r="G154" s="137"/>
      <c r="H154" s="137"/>
      <c r="I154" s="137"/>
      <c r="J154" s="138"/>
      <c r="K154" s="65">
        <f t="shared" si="56"/>
        <v>0</v>
      </c>
      <c r="L154" s="20" t="e">
        <f t="shared" si="57"/>
        <v>#DIV/0!</v>
      </c>
    </row>
    <row r="155" spans="1:15" ht="18" customHeight="1" thickBot="1" x14ac:dyDescent="0.3">
      <c r="A155" s="207" t="s">
        <v>28</v>
      </c>
      <c r="B155" s="208"/>
      <c r="C155" s="18">
        <f t="shared" ref="C155:J155" si="58">SUM(C147:C154)</f>
        <v>0</v>
      </c>
      <c r="D155" s="32">
        <f t="shared" si="58"/>
        <v>0</v>
      </c>
      <c r="E155" s="32">
        <f t="shared" si="58"/>
        <v>0</v>
      </c>
      <c r="F155" s="32">
        <f t="shared" si="58"/>
        <v>0</v>
      </c>
      <c r="G155" s="32">
        <f t="shared" si="58"/>
        <v>0</v>
      </c>
      <c r="H155" s="32">
        <f t="shared" si="58"/>
        <v>0</v>
      </c>
      <c r="I155" s="32">
        <f t="shared" si="58"/>
        <v>0</v>
      </c>
      <c r="J155" s="33">
        <f t="shared" si="58"/>
        <v>0</v>
      </c>
      <c r="K155" s="31">
        <f t="shared" ref="K155" si="59">SUM(K147:K154)</f>
        <v>0</v>
      </c>
      <c r="L155" s="143" t="e">
        <f t="shared" ref="L155" si="60">SUM(L147:L154)</f>
        <v>#DIV/0!</v>
      </c>
    </row>
    <row r="156" spans="1:15" ht="18" customHeight="1" thickBot="1" x14ac:dyDescent="0.3">
      <c r="A156" s="192" t="s">
        <v>29</v>
      </c>
      <c r="B156" s="193"/>
      <c r="C156" s="34" t="e">
        <f>C155/$K$155</f>
        <v>#DIV/0!</v>
      </c>
      <c r="D156" s="35" t="e">
        <f t="shared" ref="D156:J156" si="61">D155/$K$155</f>
        <v>#DIV/0!</v>
      </c>
      <c r="E156" s="35" t="e">
        <f t="shared" si="61"/>
        <v>#DIV/0!</v>
      </c>
      <c r="F156" s="35" t="e">
        <f t="shared" si="61"/>
        <v>#DIV/0!</v>
      </c>
      <c r="G156" s="35" t="e">
        <f t="shared" si="61"/>
        <v>#DIV/0!</v>
      </c>
      <c r="H156" s="35" t="e">
        <f t="shared" si="61"/>
        <v>#DIV/0!</v>
      </c>
      <c r="I156" s="35" t="e">
        <f t="shared" si="61"/>
        <v>#DIV/0!</v>
      </c>
      <c r="J156" s="36" t="e">
        <f t="shared" si="61"/>
        <v>#DIV/0!</v>
      </c>
      <c r="K156" s="28" t="e">
        <f>SUM(C156:J156)</f>
        <v>#DIV/0!</v>
      </c>
      <c r="L156" s="62"/>
    </row>
    <row r="157" spans="1:15" ht="18" customHeight="1" thickBot="1" x14ac:dyDescent="0.3">
      <c r="A157" s="194" t="s">
        <v>41</v>
      </c>
      <c r="B157" s="8" t="s">
        <v>42</v>
      </c>
      <c r="C157" s="139"/>
      <c r="D157" s="140"/>
      <c r="E157" s="140"/>
      <c r="F157" s="140"/>
      <c r="G157" s="140"/>
      <c r="H157" s="140"/>
      <c r="I157" s="140"/>
      <c r="J157" s="141"/>
      <c r="K157" s="215"/>
      <c r="L157" s="198"/>
    </row>
    <row r="158" spans="1:15" ht="18" customHeight="1" x14ac:dyDescent="0.25">
      <c r="A158" s="195"/>
      <c r="B158" s="9" t="s">
        <v>14</v>
      </c>
      <c r="C158" s="10"/>
      <c r="D158" s="11"/>
      <c r="E158" s="11"/>
      <c r="F158" s="11"/>
      <c r="G158" s="11"/>
      <c r="H158" s="11"/>
      <c r="I158" s="11"/>
      <c r="J158" s="12"/>
      <c r="K158" s="216"/>
      <c r="L158" s="200"/>
    </row>
    <row r="159" spans="1:15" ht="18" customHeight="1" thickBot="1" x14ac:dyDescent="0.3">
      <c r="A159" s="196"/>
      <c r="B159" s="13" t="s">
        <v>43</v>
      </c>
      <c r="C159" s="14"/>
      <c r="D159" s="15"/>
      <c r="E159" s="15"/>
      <c r="F159" s="15"/>
      <c r="G159" s="15"/>
      <c r="H159" s="15"/>
      <c r="I159" s="15"/>
      <c r="J159" s="16"/>
      <c r="K159" s="217"/>
      <c r="L159" s="202"/>
    </row>
    <row r="160" spans="1:15" ht="18" customHeight="1" thickBot="1" x14ac:dyDescent="0.3"/>
    <row r="161" spans="1:15" ht="18" customHeight="1" x14ac:dyDescent="0.25">
      <c r="A161" s="203"/>
      <c r="B161" s="204"/>
      <c r="C161" s="207" t="s">
        <v>27</v>
      </c>
      <c r="D161" s="208"/>
      <c r="E161" s="208"/>
      <c r="F161" s="208"/>
      <c r="G161" s="208"/>
      <c r="H161" s="208"/>
      <c r="I161" s="208"/>
      <c r="J161" s="209"/>
      <c r="K161" s="227" t="s">
        <v>28</v>
      </c>
      <c r="L161" s="210" t="s">
        <v>29</v>
      </c>
    </row>
    <row r="162" spans="1:15" ht="18" customHeight="1" thickBot="1" x14ac:dyDescent="0.3">
      <c r="A162" s="205"/>
      <c r="B162" s="206"/>
      <c r="C162" s="49" t="s">
        <v>31</v>
      </c>
      <c r="D162" s="1" t="s">
        <v>32</v>
      </c>
      <c r="E162" s="1" t="s">
        <v>33</v>
      </c>
      <c r="F162" s="1" t="s">
        <v>34</v>
      </c>
      <c r="G162" s="1" t="s">
        <v>35</v>
      </c>
      <c r="H162" s="1" t="s">
        <v>36</v>
      </c>
      <c r="I162" s="1" t="s">
        <v>37</v>
      </c>
      <c r="J162" s="50" t="s">
        <v>38</v>
      </c>
      <c r="K162" s="229"/>
      <c r="L162" s="200"/>
    </row>
    <row r="163" spans="1:15" ht="18" customHeight="1" thickBot="1" x14ac:dyDescent="0.3">
      <c r="A163" s="212" t="s">
        <v>39</v>
      </c>
      <c r="B163" s="73">
        <f>B$3</f>
        <v>0</v>
      </c>
      <c r="C163" s="2"/>
      <c r="D163" s="3"/>
      <c r="E163" s="3"/>
      <c r="F163" s="3"/>
      <c r="G163" s="3"/>
      <c r="H163" s="3"/>
      <c r="I163" s="3"/>
      <c r="J163" s="24"/>
      <c r="K163" s="51">
        <f t="shared" ref="K163:K170" si="62">SUM(C163:J163)</f>
        <v>0</v>
      </c>
      <c r="L163" s="4" t="e">
        <f>SUM(C163:J163)/$K$171</f>
        <v>#DIV/0!</v>
      </c>
    </row>
    <row r="164" spans="1:15" ht="18" customHeight="1" x14ac:dyDescent="0.25">
      <c r="A164" s="213"/>
      <c r="B164" s="74">
        <f>B$4</f>
        <v>0</v>
      </c>
      <c r="C164" s="5"/>
      <c r="D164" s="6"/>
      <c r="E164" s="6"/>
      <c r="F164" s="6"/>
      <c r="G164" s="6"/>
      <c r="H164" s="6"/>
      <c r="I164" s="6"/>
      <c r="J164" s="25"/>
      <c r="K164" s="52">
        <f t="shared" si="62"/>
        <v>0</v>
      </c>
      <c r="L164" s="19" t="e">
        <f t="shared" ref="L164:L168" si="63">SUM(C164:J164)/$K$171</f>
        <v>#DIV/0!</v>
      </c>
      <c r="N164" s="218" t="str">
        <f>TEXT(EOMONTH(DATEVALUE(N148&amp;"1"),0)+1,"mmmm")</f>
        <v>enero</v>
      </c>
      <c r="O164" s="219"/>
    </row>
    <row r="165" spans="1:15" ht="18" customHeight="1" x14ac:dyDescent="0.25">
      <c r="A165" s="213"/>
      <c r="B165" s="74">
        <f>B$5</f>
        <v>0</v>
      </c>
      <c r="C165" s="5"/>
      <c r="D165" s="6"/>
      <c r="E165" s="6"/>
      <c r="F165" s="6"/>
      <c r="G165" s="6"/>
      <c r="H165" s="6"/>
      <c r="I165" s="6"/>
      <c r="J165" s="25"/>
      <c r="K165" s="52">
        <f t="shared" si="62"/>
        <v>0</v>
      </c>
      <c r="L165" s="19" t="e">
        <f t="shared" si="63"/>
        <v>#DIV/0!</v>
      </c>
      <c r="N165" s="220"/>
      <c r="O165" s="206"/>
    </row>
    <row r="166" spans="1:15" ht="18" customHeight="1" x14ac:dyDescent="0.25">
      <c r="A166" s="213"/>
      <c r="B166" s="74">
        <f>B$6</f>
        <v>0</v>
      </c>
      <c r="C166" s="5"/>
      <c r="D166" s="6"/>
      <c r="E166" s="6"/>
      <c r="F166" s="6"/>
      <c r="G166" s="6"/>
      <c r="H166" s="6"/>
      <c r="I166" s="6"/>
      <c r="J166" s="25"/>
      <c r="K166" s="52">
        <f t="shared" si="62"/>
        <v>0</v>
      </c>
      <c r="L166" s="19" t="e">
        <f t="shared" si="63"/>
        <v>#DIV/0!</v>
      </c>
    </row>
    <row r="167" spans="1:15" ht="18" customHeight="1" x14ac:dyDescent="0.25">
      <c r="A167" s="213"/>
      <c r="B167" s="74">
        <f>B$7</f>
        <v>0</v>
      </c>
      <c r="C167" s="5"/>
      <c r="D167" s="6"/>
      <c r="E167" s="6"/>
      <c r="F167" s="6"/>
      <c r="G167" s="6"/>
      <c r="H167" s="6"/>
      <c r="I167" s="6"/>
      <c r="J167" s="25"/>
      <c r="K167" s="52">
        <f t="shared" si="62"/>
        <v>0</v>
      </c>
      <c r="L167" s="19" t="e">
        <f t="shared" si="63"/>
        <v>#DIV/0!</v>
      </c>
    </row>
    <row r="168" spans="1:15" ht="18" customHeight="1" thickBot="1" x14ac:dyDescent="0.3">
      <c r="A168" s="213"/>
      <c r="B168" s="74">
        <f>B$8</f>
        <v>0</v>
      </c>
      <c r="C168" s="5"/>
      <c r="D168" s="6"/>
      <c r="E168" s="6"/>
      <c r="F168" s="6"/>
      <c r="G168" s="6"/>
      <c r="H168" s="6"/>
      <c r="I168" s="6"/>
      <c r="J168" s="25"/>
      <c r="K168" s="52">
        <f t="shared" si="62"/>
        <v>0</v>
      </c>
      <c r="L168" s="20" t="e">
        <f t="shared" si="63"/>
        <v>#DIV/0!</v>
      </c>
    </row>
    <row r="169" spans="1:15" ht="18" customHeight="1" x14ac:dyDescent="0.25">
      <c r="A169" s="213"/>
      <c r="B169" s="74">
        <f>B$9</f>
        <v>0</v>
      </c>
      <c r="C169" s="5"/>
      <c r="D169" s="42"/>
      <c r="E169" s="42"/>
      <c r="F169" s="42"/>
      <c r="G169" s="42"/>
      <c r="H169" s="42"/>
      <c r="I169" s="42"/>
      <c r="J169" s="67"/>
      <c r="K169" s="52">
        <f t="shared" si="62"/>
        <v>0</v>
      </c>
      <c r="L169" s="146" t="e">
        <f t="shared" ref="L169:L170" si="64">SUM(C169:J169)/$K$75</f>
        <v>#DIV/0!</v>
      </c>
    </row>
    <row r="170" spans="1:15" ht="18" customHeight="1" thickBot="1" x14ac:dyDescent="0.3">
      <c r="A170" s="214"/>
      <c r="B170" s="75">
        <f>B$10</f>
        <v>0</v>
      </c>
      <c r="C170" s="136"/>
      <c r="D170" s="137"/>
      <c r="E170" s="137"/>
      <c r="F170" s="137"/>
      <c r="G170" s="137"/>
      <c r="H170" s="137"/>
      <c r="I170" s="137"/>
      <c r="J170" s="138"/>
      <c r="K170" s="63">
        <f t="shared" si="62"/>
        <v>0</v>
      </c>
      <c r="L170" s="20" t="e">
        <f t="shared" si="64"/>
        <v>#DIV/0!</v>
      </c>
    </row>
    <row r="171" spans="1:15" ht="18" customHeight="1" thickBot="1" x14ac:dyDescent="0.3">
      <c r="A171" s="207" t="s">
        <v>28</v>
      </c>
      <c r="B171" s="208"/>
      <c r="C171" s="18">
        <f t="shared" ref="C171:J171" si="65">SUM(C163:C170)</f>
        <v>0</v>
      </c>
      <c r="D171" s="32">
        <f t="shared" si="65"/>
        <v>0</v>
      </c>
      <c r="E171" s="32">
        <f t="shared" si="65"/>
        <v>0</v>
      </c>
      <c r="F171" s="32">
        <f t="shared" si="65"/>
        <v>0</v>
      </c>
      <c r="G171" s="32">
        <f t="shared" si="65"/>
        <v>0</v>
      </c>
      <c r="H171" s="32">
        <f t="shared" si="65"/>
        <v>0</v>
      </c>
      <c r="I171" s="32">
        <f t="shared" si="65"/>
        <v>0</v>
      </c>
      <c r="J171" s="33">
        <f t="shared" si="65"/>
        <v>0</v>
      </c>
      <c r="K171" s="61">
        <f t="shared" ref="K171" si="66">SUM(K163:K170)</f>
        <v>0</v>
      </c>
      <c r="L171" s="17" t="e">
        <f t="shared" ref="L171" si="67">SUM(L163:L170)</f>
        <v>#DIV/0!</v>
      </c>
    </row>
    <row r="172" spans="1:15" ht="18" customHeight="1" thickBot="1" x14ac:dyDescent="0.3">
      <c r="A172" s="192" t="s">
        <v>29</v>
      </c>
      <c r="B172" s="193"/>
      <c r="C172" s="34" t="e">
        <f>C171/$K$171</f>
        <v>#DIV/0!</v>
      </c>
      <c r="D172" s="35" t="e">
        <f t="shared" ref="D172:J172" si="68">D171/$K$171</f>
        <v>#DIV/0!</v>
      </c>
      <c r="E172" s="35" t="e">
        <f t="shared" si="68"/>
        <v>#DIV/0!</v>
      </c>
      <c r="F172" s="35" t="e">
        <f t="shared" si="68"/>
        <v>#DIV/0!</v>
      </c>
      <c r="G172" s="35" t="e">
        <f t="shared" si="68"/>
        <v>#DIV/0!</v>
      </c>
      <c r="H172" s="35" t="e">
        <f t="shared" si="68"/>
        <v>#DIV/0!</v>
      </c>
      <c r="I172" s="35" t="e">
        <f t="shared" si="68"/>
        <v>#DIV/0!</v>
      </c>
      <c r="J172" s="36" t="e">
        <f t="shared" si="68"/>
        <v>#DIV/0!</v>
      </c>
      <c r="K172" s="28" t="e">
        <f>SUM(C172:J172)</f>
        <v>#DIV/0!</v>
      </c>
      <c r="L172" s="62"/>
    </row>
    <row r="173" spans="1:15" ht="18" customHeight="1" thickBot="1" x14ac:dyDescent="0.3">
      <c r="A173" s="194" t="s">
        <v>41</v>
      </c>
      <c r="B173" s="8" t="s">
        <v>42</v>
      </c>
      <c r="C173" s="139"/>
      <c r="D173" s="140"/>
      <c r="E173" s="140"/>
      <c r="F173" s="140"/>
      <c r="G173" s="140"/>
      <c r="H173" s="140"/>
      <c r="I173" s="140"/>
      <c r="J173" s="141"/>
      <c r="K173" s="215"/>
      <c r="L173" s="198"/>
    </row>
    <row r="174" spans="1:15" ht="18" customHeight="1" x14ac:dyDescent="0.25">
      <c r="A174" s="195"/>
      <c r="B174" s="9" t="s">
        <v>14</v>
      </c>
      <c r="C174" s="10"/>
      <c r="D174" s="11"/>
      <c r="E174" s="11"/>
      <c r="F174" s="11"/>
      <c r="G174" s="11"/>
      <c r="H174" s="11"/>
      <c r="I174" s="11"/>
      <c r="J174" s="12"/>
      <c r="K174" s="216"/>
      <c r="L174" s="200"/>
    </row>
    <row r="175" spans="1:15" ht="18" customHeight="1" thickBot="1" x14ac:dyDescent="0.3">
      <c r="A175" s="196"/>
      <c r="B175" s="13" t="s">
        <v>43</v>
      </c>
      <c r="C175" s="14"/>
      <c r="D175" s="15"/>
      <c r="E175" s="15"/>
      <c r="F175" s="15"/>
      <c r="G175" s="15"/>
      <c r="H175" s="15"/>
      <c r="I175" s="15"/>
      <c r="J175" s="16"/>
      <c r="K175" s="217"/>
      <c r="L175" s="202"/>
    </row>
    <row r="176" spans="1:15" ht="18" customHeight="1" thickBot="1" x14ac:dyDescent="0.3"/>
    <row r="177" spans="1:15" ht="18" customHeight="1" x14ac:dyDescent="0.25">
      <c r="A177" s="203"/>
      <c r="B177" s="204"/>
      <c r="C177" s="207" t="s">
        <v>27</v>
      </c>
      <c r="D177" s="208"/>
      <c r="E177" s="208"/>
      <c r="F177" s="208"/>
      <c r="G177" s="208"/>
      <c r="H177" s="208"/>
      <c r="I177" s="208"/>
      <c r="J177" s="209"/>
      <c r="K177" s="227" t="s">
        <v>28</v>
      </c>
      <c r="L177" s="210" t="s">
        <v>29</v>
      </c>
    </row>
    <row r="178" spans="1:15" ht="18" customHeight="1" thickBot="1" x14ac:dyDescent="0.3">
      <c r="A178" s="199"/>
      <c r="B178" s="226"/>
      <c r="C178" s="49" t="s">
        <v>31</v>
      </c>
      <c r="D178" s="1" t="s">
        <v>32</v>
      </c>
      <c r="E178" s="1" t="s">
        <v>33</v>
      </c>
      <c r="F178" s="1" t="s">
        <v>34</v>
      </c>
      <c r="G178" s="1" t="s">
        <v>35</v>
      </c>
      <c r="H178" s="1" t="s">
        <v>36</v>
      </c>
      <c r="I178" s="1" t="s">
        <v>37</v>
      </c>
      <c r="J178" s="50" t="s">
        <v>38</v>
      </c>
      <c r="K178" s="228"/>
      <c r="L178" s="200"/>
    </row>
    <row r="179" spans="1:15" ht="18" customHeight="1" x14ac:dyDescent="0.25">
      <c r="A179" s="222" t="s">
        <v>39</v>
      </c>
      <c r="B179" s="73">
        <f>B$3</f>
        <v>0</v>
      </c>
      <c r="C179" s="2"/>
      <c r="D179" s="3"/>
      <c r="E179" s="3"/>
      <c r="F179" s="3"/>
      <c r="G179" s="3"/>
      <c r="H179" s="3"/>
      <c r="I179" s="3"/>
      <c r="J179" s="24"/>
      <c r="K179" s="51">
        <f t="shared" ref="K179:K186" si="69">SUM(C179:J179)</f>
        <v>0</v>
      </c>
      <c r="L179" s="4" t="e">
        <f>SUM(C179:J179)/$K$187</f>
        <v>#DIV/0!</v>
      </c>
    </row>
    <row r="180" spans="1:15" ht="18" customHeight="1" x14ac:dyDescent="0.25">
      <c r="A180" s="223"/>
      <c r="B180" s="74">
        <f>B$4</f>
        <v>0</v>
      </c>
      <c r="C180" s="5"/>
      <c r="D180" s="6"/>
      <c r="E180" s="6"/>
      <c r="F180" s="6"/>
      <c r="G180" s="6"/>
      <c r="H180" s="6"/>
      <c r="I180" s="6"/>
      <c r="J180" s="25"/>
      <c r="K180" s="52">
        <f t="shared" si="69"/>
        <v>0</v>
      </c>
      <c r="L180" s="19" t="e">
        <f t="shared" ref="L180:L184" si="70">SUM(C180:J180)/$K$187</f>
        <v>#DIV/0!</v>
      </c>
      <c r="N180" s="218" t="str">
        <f>TEXT(EOMONTH(DATEVALUE(N164&amp;"1"),0)+1,"mmmm")</f>
        <v>febrero</v>
      </c>
      <c r="O180" s="219"/>
    </row>
    <row r="181" spans="1:15" ht="18" customHeight="1" x14ac:dyDescent="0.25">
      <c r="A181" s="223"/>
      <c r="B181" s="74">
        <f>B$5</f>
        <v>0</v>
      </c>
      <c r="C181" s="5"/>
      <c r="D181" s="6"/>
      <c r="E181" s="6"/>
      <c r="F181" s="6"/>
      <c r="G181" s="6"/>
      <c r="H181" s="6"/>
      <c r="I181" s="6"/>
      <c r="J181" s="25"/>
      <c r="K181" s="52">
        <f t="shared" si="69"/>
        <v>0</v>
      </c>
      <c r="L181" s="19" t="e">
        <f t="shared" si="70"/>
        <v>#DIV/0!</v>
      </c>
      <c r="N181" s="220"/>
      <c r="O181" s="206"/>
    </row>
    <row r="182" spans="1:15" ht="18" customHeight="1" x14ac:dyDescent="0.25">
      <c r="A182" s="223"/>
      <c r="B182" s="74">
        <f>B$6</f>
        <v>0</v>
      </c>
      <c r="C182" s="5"/>
      <c r="D182" s="6"/>
      <c r="E182" s="6"/>
      <c r="F182" s="6"/>
      <c r="G182" s="6"/>
      <c r="H182" s="6"/>
      <c r="I182" s="6"/>
      <c r="J182" s="25"/>
      <c r="K182" s="52">
        <f t="shared" si="69"/>
        <v>0</v>
      </c>
      <c r="L182" s="19" t="e">
        <f t="shared" si="70"/>
        <v>#DIV/0!</v>
      </c>
    </row>
    <row r="183" spans="1:15" ht="18" customHeight="1" x14ac:dyDescent="0.25">
      <c r="A183" s="223"/>
      <c r="B183" s="74">
        <f>B$7</f>
        <v>0</v>
      </c>
      <c r="C183" s="5"/>
      <c r="D183" s="6"/>
      <c r="E183" s="6"/>
      <c r="F183" s="6"/>
      <c r="G183" s="6"/>
      <c r="H183" s="6"/>
      <c r="I183" s="6"/>
      <c r="J183" s="25"/>
      <c r="K183" s="52">
        <f t="shared" si="69"/>
        <v>0</v>
      </c>
      <c r="L183" s="19" t="e">
        <f t="shared" si="70"/>
        <v>#DIV/0!</v>
      </c>
    </row>
    <row r="184" spans="1:15" ht="18" customHeight="1" thickBot="1" x14ac:dyDescent="0.3">
      <c r="A184" s="223"/>
      <c r="B184" s="74">
        <f>B$8</f>
        <v>0</v>
      </c>
      <c r="C184" s="5"/>
      <c r="D184" s="6"/>
      <c r="E184" s="6"/>
      <c r="F184" s="6"/>
      <c r="G184" s="6"/>
      <c r="H184" s="6"/>
      <c r="I184" s="6"/>
      <c r="J184" s="25"/>
      <c r="K184" s="52">
        <f t="shared" si="69"/>
        <v>0</v>
      </c>
      <c r="L184" s="20" t="e">
        <f t="shared" si="70"/>
        <v>#DIV/0!</v>
      </c>
    </row>
    <row r="185" spans="1:15" ht="18" customHeight="1" x14ac:dyDescent="0.25">
      <c r="A185" s="223"/>
      <c r="B185" s="74">
        <f>B$9</f>
        <v>0</v>
      </c>
      <c r="C185" s="5"/>
      <c r="D185" s="6"/>
      <c r="E185" s="6"/>
      <c r="F185" s="6"/>
      <c r="G185" s="6"/>
      <c r="H185" s="6"/>
      <c r="I185" s="6"/>
      <c r="J185" s="25"/>
      <c r="K185" s="52">
        <f t="shared" si="69"/>
        <v>0</v>
      </c>
      <c r="L185" s="146" t="e">
        <f t="shared" ref="L185:L186" si="71">SUM(C185:J185)/$K$75</f>
        <v>#DIV/0!</v>
      </c>
    </row>
    <row r="186" spans="1:15" ht="18" customHeight="1" thickBot="1" x14ac:dyDescent="0.3">
      <c r="A186" s="223"/>
      <c r="B186" s="75">
        <f>B$10</f>
        <v>0</v>
      </c>
      <c r="C186" s="45"/>
      <c r="D186" s="46"/>
      <c r="E186" s="46"/>
      <c r="F186" s="46"/>
      <c r="G186" s="46"/>
      <c r="H186" s="46"/>
      <c r="I186" s="46"/>
      <c r="J186" s="47"/>
      <c r="K186" s="63">
        <f t="shared" si="69"/>
        <v>0</v>
      </c>
      <c r="L186" s="20" t="e">
        <f t="shared" si="71"/>
        <v>#DIV/0!</v>
      </c>
    </row>
    <row r="187" spans="1:15" ht="18" customHeight="1" thickBot="1" x14ac:dyDescent="0.3">
      <c r="A187" s="207" t="s">
        <v>28</v>
      </c>
      <c r="B187" s="209"/>
      <c r="C187" s="53">
        <f t="shared" ref="C187:K187" si="72">SUM(C179:C186)</f>
        <v>0</v>
      </c>
      <c r="D187" s="54">
        <f t="shared" si="72"/>
        <v>0</v>
      </c>
      <c r="E187" s="54">
        <f t="shared" si="72"/>
        <v>0</v>
      </c>
      <c r="F187" s="54">
        <f t="shared" si="72"/>
        <v>0</v>
      </c>
      <c r="G187" s="54">
        <f t="shared" si="72"/>
        <v>0</v>
      </c>
      <c r="H187" s="54">
        <f t="shared" si="72"/>
        <v>0</v>
      </c>
      <c r="I187" s="54">
        <f t="shared" si="72"/>
        <v>0</v>
      </c>
      <c r="J187" s="55">
        <f t="shared" si="72"/>
        <v>0</v>
      </c>
      <c r="K187" s="61">
        <f t="shared" si="72"/>
        <v>0</v>
      </c>
      <c r="L187" s="143" t="e">
        <f t="shared" ref="L187" si="73">SUM(L179:L186)</f>
        <v>#DIV/0!</v>
      </c>
    </row>
    <row r="188" spans="1:15" ht="18" customHeight="1" thickBot="1" x14ac:dyDescent="0.3">
      <c r="A188" s="224" t="s">
        <v>29</v>
      </c>
      <c r="B188" s="225"/>
      <c r="C188" s="34" t="e">
        <f t="shared" ref="C188:J188" si="74">C187/$K187</f>
        <v>#DIV/0!</v>
      </c>
      <c r="D188" s="35" t="e">
        <f t="shared" si="74"/>
        <v>#DIV/0!</v>
      </c>
      <c r="E188" s="35" t="e">
        <f t="shared" si="74"/>
        <v>#DIV/0!</v>
      </c>
      <c r="F188" s="35" t="e">
        <f t="shared" si="74"/>
        <v>#DIV/0!</v>
      </c>
      <c r="G188" s="35" t="e">
        <f t="shared" si="74"/>
        <v>#DIV/0!</v>
      </c>
      <c r="H188" s="35" t="e">
        <f t="shared" si="74"/>
        <v>#DIV/0!</v>
      </c>
      <c r="I188" s="35" t="e">
        <f t="shared" si="74"/>
        <v>#DIV/0!</v>
      </c>
      <c r="J188" s="36" t="e">
        <f t="shared" si="74"/>
        <v>#DIV/0!</v>
      </c>
      <c r="K188" s="28" t="e">
        <f>SUM(C188:J188)</f>
        <v>#DIV/0!</v>
      </c>
      <c r="L188" s="62"/>
    </row>
    <row r="189" spans="1:15" ht="18" customHeight="1" thickBot="1" x14ac:dyDescent="0.3">
      <c r="A189" s="194" t="s">
        <v>41</v>
      </c>
      <c r="B189" s="8" t="s">
        <v>42</v>
      </c>
      <c r="C189" s="57"/>
      <c r="D189" s="58"/>
      <c r="E189" s="58"/>
      <c r="F189" s="58"/>
      <c r="G189" s="58"/>
      <c r="H189" s="58"/>
      <c r="I189" s="58"/>
      <c r="J189" s="59"/>
      <c r="K189" s="215"/>
      <c r="L189" s="198"/>
    </row>
    <row r="190" spans="1:15" ht="18" customHeight="1" x14ac:dyDescent="0.25">
      <c r="A190" s="195"/>
      <c r="B190" s="9" t="s">
        <v>14</v>
      </c>
      <c r="C190" s="10"/>
      <c r="D190" s="11"/>
      <c r="E190" s="11"/>
      <c r="F190" s="11"/>
      <c r="G190" s="11"/>
      <c r="H190" s="11"/>
      <c r="I190" s="11"/>
      <c r="J190" s="12"/>
      <c r="K190" s="216"/>
      <c r="L190" s="200"/>
    </row>
    <row r="191" spans="1:15" ht="18" customHeight="1" thickBot="1" x14ac:dyDescent="0.3">
      <c r="A191" s="196"/>
      <c r="B191" s="13" t="s">
        <v>43</v>
      </c>
      <c r="C191" s="14"/>
      <c r="D191" s="15"/>
      <c r="E191" s="15"/>
      <c r="F191" s="15"/>
      <c r="G191" s="15"/>
      <c r="H191" s="15"/>
      <c r="I191" s="15"/>
      <c r="J191" s="16"/>
      <c r="K191" s="217"/>
      <c r="L191" s="202"/>
    </row>
    <row r="192" spans="1:15" ht="18" customHeight="1" thickBot="1" x14ac:dyDescent="0.3"/>
    <row r="193" spans="1:15" ht="18" customHeight="1" x14ac:dyDescent="0.25">
      <c r="A193" s="203"/>
      <c r="B193" s="204"/>
      <c r="C193" s="207" t="s">
        <v>27</v>
      </c>
      <c r="D193" s="208"/>
      <c r="E193" s="208"/>
      <c r="F193" s="208"/>
      <c r="G193" s="208"/>
      <c r="H193" s="208"/>
      <c r="I193" s="208"/>
      <c r="J193" s="209"/>
      <c r="K193" s="210" t="s">
        <v>28</v>
      </c>
      <c r="L193" s="210" t="s">
        <v>29</v>
      </c>
    </row>
    <row r="194" spans="1:15" ht="18" customHeight="1" thickBot="1" x14ac:dyDescent="0.3">
      <c r="A194" s="205"/>
      <c r="B194" s="206"/>
      <c r="C194" s="49" t="s">
        <v>31</v>
      </c>
      <c r="D194" s="1" t="s">
        <v>32</v>
      </c>
      <c r="E194" s="1" t="s">
        <v>33</v>
      </c>
      <c r="F194" s="1" t="s">
        <v>34</v>
      </c>
      <c r="G194" s="1" t="s">
        <v>35</v>
      </c>
      <c r="H194" s="1" t="s">
        <v>36</v>
      </c>
      <c r="I194" s="1" t="s">
        <v>37</v>
      </c>
      <c r="J194" s="50" t="s">
        <v>38</v>
      </c>
      <c r="K194" s="211"/>
      <c r="L194" s="200"/>
    </row>
    <row r="195" spans="1:15" ht="18" customHeight="1" x14ac:dyDescent="0.25">
      <c r="A195" s="221" t="s">
        <v>39</v>
      </c>
      <c r="B195" s="73">
        <f>B$3</f>
        <v>0</v>
      </c>
      <c r="C195" s="2"/>
      <c r="D195" s="3"/>
      <c r="E195" s="3"/>
      <c r="F195" s="3"/>
      <c r="G195" s="3"/>
      <c r="H195" s="3"/>
      <c r="I195" s="3"/>
      <c r="J195" s="24"/>
      <c r="K195" s="51">
        <f t="shared" ref="K195:K202" si="75">SUM(C195:J195)</f>
        <v>0</v>
      </c>
      <c r="L195" s="4" t="e">
        <f>SUM(C195:J195)/$K$203</f>
        <v>#DIV/0!</v>
      </c>
    </row>
    <row r="196" spans="1:15" ht="18" customHeight="1" x14ac:dyDescent="0.25">
      <c r="A196" s="195"/>
      <c r="B196" s="74">
        <f>B$4</f>
        <v>0</v>
      </c>
      <c r="C196" s="5"/>
      <c r="D196" s="6"/>
      <c r="E196" s="6"/>
      <c r="F196" s="6"/>
      <c r="G196" s="6"/>
      <c r="H196" s="6"/>
      <c r="I196" s="6"/>
      <c r="J196" s="25"/>
      <c r="K196" s="52">
        <f t="shared" si="75"/>
        <v>0</v>
      </c>
      <c r="L196" s="19" t="e">
        <f t="shared" ref="L196:L200" si="76">SUM(C196:J196)/$K$203</f>
        <v>#DIV/0!</v>
      </c>
      <c r="N196" s="218" t="e">
        <f>TEXT(EOMONTH(DATEVALUE(N181&amp;"1"),0)+1,"mmmm")</f>
        <v>#VALUE!</v>
      </c>
      <c r="O196" s="219"/>
    </row>
    <row r="197" spans="1:15" ht="18" customHeight="1" x14ac:dyDescent="0.25">
      <c r="A197" s="195"/>
      <c r="B197" s="74">
        <f>B$5</f>
        <v>0</v>
      </c>
      <c r="C197" s="5"/>
      <c r="D197" s="6"/>
      <c r="E197" s="6"/>
      <c r="F197" s="6"/>
      <c r="G197" s="6"/>
      <c r="H197" s="6"/>
      <c r="I197" s="6"/>
      <c r="J197" s="25"/>
      <c r="K197" s="52">
        <f t="shared" si="75"/>
        <v>0</v>
      </c>
      <c r="L197" s="19" t="e">
        <f t="shared" si="76"/>
        <v>#DIV/0!</v>
      </c>
      <c r="N197" s="220"/>
      <c r="O197" s="206"/>
    </row>
    <row r="198" spans="1:15" ht="18" customHeight="1" x14ac:dyDescent="0.25">
      <c r="A198" s="195"/>
      <c r="B198" s="74">
        <f>B$6</f>
        <v>0</v>
      </c>
      <c r="C198" s="5"/>
      <c r="D198" s="6"/>
      <c r="E198" s="6"/>
      <c r="F198" s="6"/>
      <c r="G198" s="6"/>
      <c r="H198" s="6"/>
      <c r="I198" s="6"/>
      <c r="J198" s="25"/>
      <c r="K198" s="52">
        <f t="shared" si="75"/>
        <v>0</v>
      </c>
      <c r="L198" s="19" t="e">
        <f t="shared" si="76"/>
        <v>#DIV/0!</v>
      </c>
    </row>
    <row r="199" spans="1:15" ht="18" customHeight="1" x14ac:dyDescent="0.25">
      <c r="A199" s="195"/>
      <c r="B199" s="74">
        <f>B$7</f>
        <v>0</v>
      </c>
      <c r="C199" s="5"/>
      <c r="D199" s="6"/>
      <c r="E199" s="6"/>
      <c r="F199" s="6"/>
      <c r="G199" s="6"/>
      <c r="H199" s="6"/>
      <c r="I199" s="6"/>
      <c r="J199" s="25"/>
      <c r="K199" s="52">
        <f t="shared" si="75"/>
        <v>0</v>
      </c>
      <c r="L199" s="19" t="e">
        <f t="shared" si="76"/>
        <v>#DIV/0!</v>
      </c>
    </row>
    <row r="200" spans="1:15" ht="18" customHeight="1" thickBot="1" x14ac:dyDescent="0.3">
      <c r="A200" s="195"/>
      <c r="B200" s="74">
        <f>B$8</f>
        <v>0</v>
      </c>
      <c r="C200" s="5"/>
      <c r="D200" s="6"/>
      <c r="E200" s="6"/>
      <c r="F200" s="6"/>
      <c r="G200" s="6"/>
      <c r="H200" s="6"/>
      <c r="I200" s="6"/>
      <c r="J200" s="25"/>
      <c r="K200" s="52">
        <f t="shared" si="75"/>
        <v>0</v>
      </c>
      <c r="L200" s="20" t="e">
        <f t="shared" si="76"/>
        <v>#DIV/0!</v>
      </c>
    </row>
    <row r="201" spans="1:15" ht="18" customHeight="1" x14ac:dyDescent="0.25">
      <c r="A201" s="195"/>
      <c r="B201" s="74">
        <f>B$9</f>
        <v>0</v>
      </c>
      <c r="C201" s="5"/>
      <c r="D201" s="6"/>
      <c r="E201" s="6"/>
      <c r="F201" s="6"/>
      <c r="G201" s="6"/>
      <c r="H201" s="6"/>
      <c r="I201" s="6"/>
      <c r="J201" s="25"/>
      <c r="K201" s="52">
        <f t="shared" si="75"/>
        <v>0</v>
      </c>
      <c r="L201" s="146" t="e">
        <f t="shared" ref="L201:L202" si="77">SUM(C201:J201)/$K$75</f>
        <v>#DIV/0!</v>
      </c>
    </row>
    <row r="202" spans="1:15" ht="18" customHeight="1" thickBot="1" x14ac:dyDescent="0.3">
      <c r="A202" s="195"/>
      <c r="B202" s="75">
        <f>B$10</f>
        <v>0</v>
      </c>
      <c r="C202" s="45"/>
      <c r="D202" s="46"/>
      <c r="E202" s="46"/>
      <c r="F202" s="46"/>
      <c r="G202" s="46"/>
      <c r="H202" s="46"/>
      <c r="I202" s="46"/>
      <c r="J202" s="47"/>
      <c r="K202" s="52">
        <f t="shared" si="75"/>
        <v>0</v>
      </c>
      <c r="L202" s="20" t="e">
        <f t="shared" si="77"/>
        <v>#DIV/0!</v>
      </c>
    </row>
    <row r="203" spans="1:15" ht="18" customHeight="1" thickBot="1" x14ac:dyDescent="0.3">
      <c r="A203" s="207" t="s">
        <v>28</v>
      </c>
      <c r="B203" s="209"/>
      <c r="C203" s="53">
        <f t="shared" ref="C203:K203" si="78">SUM(C195:C202)</f>
        <v>0</v>
      </c>
      <c r="D203" s="54">
        <f t="shared" si="78"/>
        <v>0</v>
      </c>
      <c r="E203" s="54">
        <f t="shared" si="78"/>
        <v>0</v>
      </c>
      <c r="F203" s="54">
        <f t="shared" si="78"/>
        <v>0</v>
      </c>
      <c r="G203" s="54">
        <f t="shared" si="78"/>
        <v>0</v>
      </c>
      <c r="H203" s="54">
        <f t="shared" si="78"/>
        <v>0</v>
      </c>
      <c r="I203" s="54">
        <f t="shared" si="78"/>
        <v>0</v>
      </c>
      <c r="J203" s="55">
        <f t="shared" si="78"/>
        <v>0</v>
      </c>
      <c r="K203" s="31">
        <f t="shared" si="78"/>
        <v>0</v>
      </c>
      <c r="L203" s="143" t="e">
        <f t="shared" ref="L203" si="79">SUM(L195:L202)</f>
        <v>#DIV/0!</v>
      </c>
    </row>
    <row r="204" spans="1:15" ht="18" customHeight="1" thickBot="1" x14ac:dyDescent="0.3">
      <c r="A204" s="192" t="s">
        <v>29</v>
      </c>
      <c r="B204" s="219"/>
      <c r="C204" s="34" t="e">
        <f t="shared" ref="C204:J204" si="80">C203/$K203</f>
        <v>#DIV/0!</v>
      </c>
      <c r="D204" s="35" t="e">
        <f t="shared" si="80"/>
        <v>#DIV/0!</v>
      </c>
      <c r="E204" s="35" t="e">
        <f t="shared" si="80"/>
        <v>#DIV/0!</v>
      </c>
      <c r="F204" s="35" t="e">
        <f t="shared" si="80"/>
        <v>#DIV/0!</v>
      </c>
      <c r="G204" s="35" t="e">
        <f t="shared" si="80"/>
        <v>#DIV/0!</v>
      </c>
      <c r="H204" s="35" t="e">
        <f t="shared" si="80"/>
        <v>#DIV/0!</v>
      </c>
      <c r="I204" s="35" t="e">
        <f t="shared" si="80"/>
        <v>#DIV/0!</v>
      </c>
      <c r="J204" s="36" t="e">
        <f t="shared" si="80"/>
        <v>#DIV/0!</v>
      </c>
      <c r="K204" s="56" t="e">
        <f>SUM(C204:J204)</f>
        <v>#DIV/0!</v>
      </c>
      <c r="L204" s="7"/>
    </row>
    <row r="205" spans="1:15" ht="18" customHeight="1" thickBot="1" x14ac:dyDescent="0.3">
      <c r="A205" s="194" t="s">
        <v>41</v>
      </c>
      <c r="B205" s="8" t="s">
        <v>42</v>
      </c>
      <c r="C205" s="57"/>
      <c r="D205" s="58"/>
      <c r="E205" s="58"/>
      <c r="F205" s="58"/>
      <c r="G205" s="58"/>
      <c r="H205" s="58"/>
      <c r="I205" s="58"/>
      <c r="J205" s="59"/>
      <c r="K205" s="215"/>
      <c r="L205" s="198"/>
    </row>
    <row r="206" spans="1:15" ht="18" customHeight="1" x14ac:dyDescent="0.25">
      <c r="A206" s="195"/>
      <c r="B206" s="9" t="s">
        <v>14</v>
      </c>
      <c r="C206" s="10"/>
      <c r="D206" s="11"/>
      <c r="E206" s="11"/>
      <c r="F206" s="11"/>
      <c r="G206" s="11"/>
      <c r="H206" s="11"/>
      <c r="I206" s="11"/>
      <c r="J206" s="12"/>
      <c r="K206" s="216"/>
      <c r="L206" s="200"/>
    </row>
    <row r="207" spans="1:15" ht="18" customHeight="1" thickBot="1" x14ac:dyDescent="0.3">
      <c r="A207" s="196"/>
      <c r="B207" s="13" t="s">
        <v>43</v>
      </c>
      <c r="C207" s="14"/>
      <c r="D207" s="15"/>
      <c r="E207" s="15"/>
      <c r="F207" s="15"/>
      <c r="G207" s="15"/>
      <c r="H207" s="15"/>
      <c r="I207" s="15"/>
      <c r="J207" s="16"/>
      <c r="K207" s="217"/>
      <c r="L207" s="202"/>
    </row>
  </sheetData>
  <mergeCells count="130">
    <mergeCell ref="N4:O5"/>
    <mergeCell ref="A11:B11"/>
    <mergeCell ref="A12:B12"/>
    <mergeCell ref="A13:A15"/>
    <mergeCell ref="K13:L15"/>
    <mergeCell ref="A17:B18"/>
    <mergeCell ref="C17:J17"/>
    <mergeCell ref="K17:K18"/>
    <mergeCell ref="L17:L18"/>
    <mergeCell ref="A1:B2"/>
    <mergeCell ref="C1:J1"/>
    <mergeCell ref="K1:K2"/>
    <mergeCell ref="L1:L2"/>
    <mergeCell ref="A3:A10"/>
    <mergeCell ref="A33:B34"/>
    <mergeCell ref="C33:J33"/>
    <mergeCell ref="K33:K34"/>
    <mergeCell ref="L33:L34"/>
    <mergeCell ref="A35:A42"/>
    <mergeCell ref="N36:O37"/>
    <mergeCell ref="A19:A26"/>
    <mergeCell ref="N20:O21"/>
    <mergeCell ref="A27:B27"/>
    <mergeCell ref="A28:B28"/>
    <mergeCell ref="A29:A31"/>
    <mergeCell ref="K29:L31"/>
    <mergeCell ref="N68:O69"/>
    <mergeCell ref="A51:A58"/>
    <mergeCell ref="N52:O53"/>
    <mergeCell ref="A59:B59"/>
    <mergeCell ref="A60:B60"/>
    <mergeCell ref="A61:A63"/>
    <mergeCell ref="K61:L63"/>
    <mergeCell ref="A43:B43"/>
    <mergeCell ref="A44:B44"/>
    <mergeCell ref="A45:A47"/>
    <mergeCell ref="K45:L47"/>
    <mergeCell ref="A49:B50"/>
    <mergeCell ref="C49:J49"/>
    <mergeCell ref="K49:K50"/>
    <mergeCell ref="L49:L50"/>
    <mergeCell ref="A75:B75"/>
    <mergeCell ref="A76:B76"/>
    <mergeCell ref="A77:A79"/>
    <mergeCell ref="K77:L79"/>
    <mergeCell ref="A81:B82"/>
    <mergeCell ref="C81:J81"/>
    <mergeCell ref="K81:K82"/>
    <mergeCell ref="L81:L82"/>
    <mergeCell ref="A65:B66"/>
    <mergeCell ref="C65:J65"/>
    <mergeCell ref="K65:K66"/>
    <mergeCell ref="L65:L66"/>
    <mergeCell ref="A67:A74"/>
    <mergeCell ref="A97:B98"/>
    <mergeCell ref="C97:J97"/>
    <mergeCell ref="K97:K98"/>
    <mergeCell ref="L97:L98"/>
    <mergeCell ref="A99:A106"/>
    <mergeCell ref="N100:O101"/>
    <mergeCell ref="A83:A90"/>
    <mergeCell ref="N84:O85"/>
    <mergeCell ref="A91:B91"/>
    <mergeCell ref="A92:B92"/>
    <mergeCell ref="A93:A95"/>
    <mergeCell ref="K93:L95"/>
    <mergeCell ref="N132:O133"/>
    <mergeCell ref="A115:A122"/>
    <mergeCell ref="N116:O117"/>
    <mergeCell ref="A123:B123"/>
    <mergeCell ref="A124:B124"/>
    <mergeCell ref="A125:A127"/>
    <mergeCell ref="K125:L127"/>
    <mergeCell ref="A107:B107"/>
    <mergeCell ref="A108:B108"/>
    <mergeCell ref="A109:A111"/>
    <mergeCell ref="K109:L111"/>
    <mergeCell ref="A113:B114"/>
    <mergeCell ref="C113:J113"/>
    <mergeCell ref="K113:K114"/>
    <mergeCell ref="L113:L114"/>
    <mergeCell ref="A139:B139"/>
    <mergeCell ref="A140:B140"/>
    <mergeCell ref="A141:A143"/>
    <mergeCell ref="K141:L143"/>
    <mergeCell ref="A145:B146"/>
    <mergeCell ref="C145:J145"/>
    <mergeCell ref="K145:K146"/>
    <mergeCell ref="L145:L146"/>
    <mergeCell ref="A129:B130"/>
    <mergeCell ref="C129:J129"/>
    <mergeCell ref="K129:K130"/>
    <mergeCell ref="L129:L130"/>
    <mergeCell ref="A131:A138"/>
    <mergeCell ref="A161:B162"/>
    <mergeCell ref="C161:J161"/>
    <mergeCell ref="K161:K162"/>
    <mergeCell ref="L161:L162"/>
    <mergeCell ref="A163:A170"/>
    <mergeCell ref="N164:O165"/>
    <mergeCell ref="A147:A154"/>
    <mergeCell ref="N148:O149"/>
    <mergeCell ref="A155:B155"/>
    <mergeCell ref="A156:B156"/>
    <mergeCell ref="A157:A159"/>
    <mergeCell ref="K157:L159"/>
    <mergeCell ref="N196:O197"/>
    <mergeCell ref="A179:A186"/>
    <mergeCell ref="N180:O181"/>
    <mergeCell ref="A187:B187"/>
    <mergeCell ref="A188:B188"/>
    <mergeCell ref="A189:A191"/>
    <mergeCell ref="K189:L191"/>
    <mergeCell ref="A171:B171"/>
    <mergeCell ref="A172:B172"/>
    <mergeCell ref="A173:A175"/>
    <mergeCell ref="K173:L175"/>
    <mergeCell ref="A177:B178"/>
    <mergeCell ref="C177:J177"/>
    <mergeCell ref="K177:K178"/>
    <mergeCell ref="L177:L178"/>
    <mergeCell ref="A203:B203"/>
    <mergeCell ref="A204:B204"/>
    <mergeCell ref="A205:A207"/>
    <mergeCell ref="K205:L207"/>
    <mergeCell ref="A193:B194"/>
    <mergeCell ref="C193:J193"/>
    <mergeCell ref="K193:K194"/>
    <mergeCell ref="L193:L194"/>
    <mergeCell ref="A195:A202"/>
  </mergeCells>
  <conditionalFormatting sqref="C3:J8">
    <cfRule type="dataBar" priority="154">
      <dataBar>
        <cfvo type="min"/>
        <cfvo type="max"/>
        <color rgb="FF638EC6"/>
      </dataBar>
    </cfRule>
    <cfRule type="dataBar" priority="153">
      <dataBar>
        <cfvo type="min"/>
        <cfvo type="max"/>
        <color rgb="FF638EC6"/>
      </dataBar>
    </cfRule>
    <cfRule type="dataBar" priority="152">
      <dataBar>
        <cfvo type="min"/>
        <cfvo type="max"/>
        <color rgb="FF638EC6"/>
      </dataBar>
    </cfRule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{9C5A36E5-61BF-4382-8412-EEFD5051C3C9}</x14:id>
        </ext>
      </extLst>
    </cfRule>
  </conditionalFormatting>
  <conditionalFormatting sqref="C3:J10">
    <cfRule type="dataBar" priority="165">
      <dataBar>
        <cfvo type="min"/>
        <cfvo type="max"/>
        <color rgb="FF638EC6"/>
      </dataBar>
    </cfRule>
    <cfRule type="dataBar" priority="164">
      <dataBar>
        <cfvo type="min"/>
        <cfvo type="max"/>
        <color rgb="FF638EC6"/>
      </dataBar>
    </cfRule>
    <cfRule type="dataBar" priority="163">
      <dataBar>
        <cfvo type="min"/>
        <cfvo type="max"/>
        <color rgb="FF638EC6"/>
      </dataBar>
    </cfRule>
    <cfRule type="dataBar" priority="162">
      <dataBar>
        <cfvo type="min"/>
        <cfvo type="max"/>
        <color rgb="FF638EC6"/>
      </dataBar>
    </cfRule>
    <cfRule type="dataBar" priority="161">
      <dataBar>
        <cfvo type="min"/>
        <cfvo type="max"/>
        <color rgb="FF638EC6"/>
      </dataBar>
    </cfRule>
    <cfRule type="dataBar" priority="160">
      <dataBar>
        <cfvo type="min"/>
        <cfvo type="max"/>
        <color rgb="FF638EC6"/>
      </dataBar>
    </cfRule>
    <cfRule type="cellIs" priority="159" operator="greaterThan">
      <formula>0</formula>
    </cfRule>
    <cfRule type="cellIs" priority="158" operator="greaterThan">
      <formula>$C$9</formula>
    </cfRule>
    <cfRule type="dataBar" priority="157">
      <dataBar>
        <cfvo type="min"/>
        <cfvo type="max"/>
        <color rgb="FF638EC6"/>
      </dataBar>
    </cfRule>
    <cfRule type="dataBar" priority="156">
      <dataBar>
        <cfvo type="min"/>
        <cfvo type="max"/>
        <color rgb="FF638EC6"/>
      </dataBar>
    </cfRule>
    <cfRule type="dataBar" priority="155">
      <dataBar>
        <cfvo type="min"/>
        <cfvo type="max"/>
        <color rgb="FF638EC6"/>
      </dataBar>
    </cfRule>
  </conditionalFormatting>
  <conditionalFormatting sqref="C19:J24">
    <cfRule type="dataBar" priority="139">
      <dataBar>
        <cfvo type="min"/>
        <cfvo type="max"/>
        <color rgb="FF638EC6"/>
      </dataBar>
    </cfRule>
    <cfRule type="dataBar" priority="138">
      <dataBar>
        <cfvo type="min"/>
        <cfvo type="max"/>
        <color rgb="FF638EC6"/>
      </dataBar>
    </cfRule>
    <cfRule type="dataBar" priority="137">
      <dataBar>
        <cfvo type="min"/>
        <cfvo type="max"/>
        <color rgb="FF638EC6"/>
      </dataBar>
    </cfRule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{644DD308-F332-461E-B49E-12A893C1E11F}</x14:id>
        </ext>
      </extLst>
    </cfRule>
  </conditionalFormatting>
  <conditionalFormatting sqref="C19:J26">
    <cfRule type="dataBar" priority="145">
      <dataBar>
        <cfvo type="min"/>
        <cfvo type="max"/>
        <color rgb="FF638EC6"/>
      </dataBar>
    </cfRule>
    <cfRule type="dataBar" priority="147">
      <dataBar>
        <cfvo type="min"/>
        <cfvo type="max"/>
        <color rgb="FF638EC6"/>
      </dataBar>
    </cfRule>
    <cfRule type="cellIs" priority="144" operator="greaterThan">
      <formula>0</formula>
    </cfRule>
    <cfRule type="cellIs" priority="143" operator="greaterThan">
      <formula>$C$9</formula>
    </cfRule>
    <cfRule type="dataBar" priority="142">
      <dataBar>
        <cfvo type="min"/>
        <cfvo type="max"/>
        <color rgb="FF638EC6"/>
      </dataBar>
    </cfRule>
    <cfRule type="dataBar" priority="141">
      <dataBar>
        <cfvo type="min"/>
        <cfvo type="max"/>
        <color rgb="FF638EC6"/>
      </dataBar>
    </cfRule>
    <cfRule type="dataBar" priority="140">
      <dataBar>
        <cfvo type="min"/>
        <cfvo type="max"/>
        <color rgb="FF638EC6"/>
      </dataBar>
    </cfRule>
    <cfRule type="dataBar" priority="150">
      <dataBar>
        <cfvo type="min"/>
        <cfvo type="max"/>
        <color rgb="FF638EC6"/>
      </dataBar>
    </cfRule>
    <cfRule type="dataBar" priority="149">
      <dataBar>
        <cfvo type="min"/>
        <cfvo type="max"/>
        <color rgb="FF638EC6"/>
      </dataBar>
    </cfRule>
    <cfRule type="dataBar" priority="148">
      <dataBar>
        <cfvo type="min"/>
        <cfvo type="max"/>
        <color rgb="FF638EC6"/>
      </dataBar>
    </cfRule>
    <cfRule type="dataBar" priority="146">
      <dataBar>
        <cfvo type="min"/>
        <cfvo type="max"/>
        <color rgb="FF638EC6"/>
      </dataBar>
    </cfRule>
  </conditionalFormatting>
  <conditionalFormatting sqref="C35:J40">
    <cfRule type="dataBar" priority="124">
      <dataBar>
        <cfvo type="min"/>
        <cfvo type="max"/>
        <color rgb="FF638EC6"/>
      </dataBar>
    </cfRule>
    <cfRule type="dataBar" priority="123">
      <dataBar>
        <cfvo type="min"/>
        <cfvo type="max"/>
        <color rgb="FF638EC6"/>
      </dataBar>
    </cfRule>
    <cfRule type="dataBar" priority="122">
      <dataBar>
        <cfvo type="min"/>
        <cfvo type="max"/>
        <color rgb="FF638EC6"/>
      </dataBar>
    </cfRule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{B64A7D68-E824-4364-B66F-7ADE876232FD}</x14:id>
        </ext>
      </extLst>
    </cfRule>
  </conditionalFormatting>
  <conditionalFormatting sqref="C35:J42">
    <cfRule type="dataBar" priority="132">
      <dataBar>
        <cfvo type="min"/>
        <cfvo type="max"/>
        <color rgb="FF638EC6"/>
      </dataBar>
    </cfRule>
    <cfRule type="dataBar" priority="131">
      <dataBar>
        <cfvo type="min"/>
        <cfvo type="max"/>
        <color rgb="FF638EC6"/>
      </dataBar>
    </cfRule>
    <cfRule type="dataBar" priority="130">
      <dataBar>
        <cfvo type="min"/>
        <cfvo type="max"/>
        <color rgb="FF638EC6"/>
      </dataBar>
    </cfRule>
    <cfRule type="cellIs" priority="129" operator="greaterThan">
      <formula>0</formula>
    </cfRule>
    <cfRule type="cellIs" priority="128" operator="greaterThan">
      <formula>$C$9</formula>
    </cfRule>
    <cfRule type="dataBar" priority="126">
      <dataBar>
        <cfvo type="min"/>
        <cfvo type="max"/>
        <color rgb="FF638EC6"/>
      </dataBar>
    </cfRule>
    <cfRule type="dataBar" priority="125">
      <dataBar>
        <cfvo type="min"/>
        <cfvo type="max"/>
        <color rgb="FF638EC6"/>
      </dataBar>
    </cfRule>
    <cfRule type="dataBar" priority="127">
      <dataBar>
        <cfvo type="min"/>
        <cfvo type="max"/>
        <color rgb="FF638EC6"/>
      </dataBar>
    </cfRule>
    <cfRule type="dataBar" priority="135">
      <dataBar>
        <cfvo type="min"/>
        <cfvo type="max"/>
        <color rgb="FF638EC6"/>
      </dataBar>
    </cfRule>
    <cfRule type="dataBar" priority="134">
      <dataBar>
        <cfvo type="min"/>
        <cfvo type="max"/>
        <color rgb="FF638EC6"/>
      </dataBar>
    </cfRule>
    <cfRule type="dataBar" priority="133">
      <dataBar>
        <cfvo type="min"/>
        <cfvo type="max"/>
        <color rgb="FF638EC6"/>
      </dataBar>
    </cfRule>
  </conditionalFormatting>
  <conditionalFormatting sqref="C51:J56">
    <cfRule type="dataBar" priority="109">
      <dataBar>
        <cfvo type="min"/>
        <cfvo type="max"/>
        <color rgb="FF638EC6"/>
      </dataBar>
    </cfRule>
    <cfRule type="dataBar" priority="108">
      <dataBar>
        <cfvo type="min"/>
        <cfvo type="max"/>
        <color rgb="FF638EC6"/>
      </dataBar>
    </cfRule>
    <cfRule type="dataBar" priority="107">
      <dataBar>
        <cfvo type="min"/>
        <cfvo type="max"/>
        <color rgb="FF638EC6"/>
      </dataBar>
    </cfRule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{70080C94-0F14-4F19-BF2A-6D925B290914}</x14:id>
        </ext>
      </extLst>
    </cfRule>
  </conditionalFormatting>
  <conditionalFormatting sqref="C51:J58">
    <cfRule type="dataBar" priority="120">
      <dataBar>
        <cfvo type="min"/>
        <cfvo type="max"/>
        <color rgb="FF638EC6"/>
      </dataBar>
    </cfRule>
    <cfRule type="dataBar" priority="119">
      <dataBar>
        <cfvo type="min"/>
        <cfvo type="max"/>
        <color rgb="FF638EC6"/>
      </dataBar>
    </cfRule>
    <cfRule type="dataBar" priority="118">
      <dataBar>
        <cfvo type="min"/>
        <cfvo type="max"/>
        <color rgb="FF638EC6"/>
      </dataBar>
    </cfRule>
    <cfRule type="dataBar" priority="117">
      <dataBar>
        <cfvo type="min"/>
        <cfvo type="max"/>
        <color rgb="FF638EC6"/>
      </dataBar>
    </cfRule>
    <cfRule type="dataBar" priority="116">
      <dataBar>
        <cfvo type="min"/>
        <cfvo type="max"/>
        <color rgb="FF638EC6"/>
      </dataBar>
    </cfRule>
    <cfRule type="dataBar" priority="115">
      <dataBar>
        <cfvo type="min"/>
        <cfvo type="max"/>
        <color rgb="FF638EC6"/>
      </dataBar>
    </cfRule>
    <cfRule type="cellIs" priority="114" operator="greaterThan">
      <formula>0</formula>
    </cfRule>
    <cfRule type="cellIs" priority="113" operator="greaterThan">
      <formula>$C$9</formula>
    </cfRule>
    <cfRule type="dataBar" priority="112">
      <dataBar>
        <cfvo type="min"/>
        <cfvo type="max"/>
        <color rgb="FF638EC6"/>
      </dataBar>
    </cfRule>
    <cfRule type="dataBar" priority="111">
      <dataBar>
        <cfvo type="min"/>
        <cfvo type="max"/>
        <color rgb="FF638EC6"/>
      </dataBar>
    </cfRule>
    <cfRule type="dataBar" priority="110">
      <dataBar>
        <cfvo type="min"/>
        <cfvo type="max"/>
        <color rgb="FF638EC6"/>
      </dataBar>
    </cfRule>
  </conditionalFormatting>
  <conditionalFormatting sqref="C67:J72">
    <cfRule type="dataBar" priority="94">
      <dataBar>
        <cfvo type="min"/>
        <cfvo type="max"/>
        <color rgb="FF638EC6"/>
      </dataBar>
    </cfRule>
    <cfRule type="dataBar" priority="93">
      <dataBar>
        <cfvo type="min"/>
        <cfvo type="max"/>
        <color rgb="FF638EC6"/>
      </dataBar>
    </cfRule>
    <cfRule type="dataBar" priority="92">
      <dataBar>
        <cfvo type="min"/>
        <cfvo type="max"/>
        <color rgb="FF638EC6"/>
      </dataBar>
    </cfRule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{11C3CB40-232D-408A-BD4E-F72B056E728E}</x14:id>
        </ext>
      </extLst>
    </cfRule>
  </conditionalFormatting>
  <conditionalFormatting sqref="C67:J74">
    <cfRule type="dataBar" priority="101">
      <dataBar>
        <cfvo type="min"/>
        <cfvo type="max"/>
        <color rgb="FF638EC6"/>
      </dataBar>
    </cfRule>
    <cfRule type="dataBar" priority="100">
      <dataBar>
        <cfvo type="min"/>
        <cfvo type="max"/>
        <color rgb="FF638EC6"/>
      </dataBar>
    </cfRule>
    <cfRule type="cellIs" priority="99" operator="greaterThan">
      <formula>0</formula>
    </cfRule>
    <cfRule type="cellIs" priority="98" operator="greaterThan">
      <formula>$C$9</formula>
    </cfRule>
    <cfRule type="dataBar" priority="97">
      <dataBar>
        <cfvo type="min"/>
        <cfvo type="max"/>
        <color rgb="FF638EC6"/>
      </dataBar>
    </cfRule>
    <cfRule type="dataBar" priority="96">
      <dataBar>
        <cfvo type="min"/>
        <cfvo type="max"/>
        <color rgb="FF638EC6"/>
      </dataBar>
    </cfRule>
    <cfRule type="dataBar" priority="95">
      <dataBar>
        <cfvo type="min"/>
        <cfvo type="max"/>
        <color rgb="FF638EC6"/>
      </dataBar>
    </cfRule>
    <cfRule type="dataBar" priority="105">
      <dataBar>
        <cfvo type="min"/>
        <cfvo type="max"/>
        <color rgb="FF638EC6"/>
      </dataBar>
    </cfRule>
    <cfRule type="dataBar" priority="103">
      <dataBar>
        <cfvo type="min"/>
        <cfvo type="max"/>
        <color rgb="FF638EC6"/>
      </dataBar>
    </cfRule>
    <cfRule type="dataBar" priority="102">
      <dataBar>
        <cfvo type="min"/>
        <cfvo type="max"/>
        <color rgb="FF638EC6"/>
      </dataBar>
    </cfRule>
    <cfRule type="dataBar" priority="104">
      <dataBar>
        <cfvo type="min"/>
        <cfvo type="max"/>
        <color rgb="FF638EC6"/>
      </dataBar>
    </cfRule>
  </conditionalFormatting>
  <conditionalFormatting sqref="C83:J88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{64D73540-13C2-4A79-9A37-87DF0B12CB4D}</x14:id>
        </ext>
      </extLst>
    </cfRule>
    <cfRule type="dataBar" priority="77">
      <dataBar>
        <cfvo type="min"/>
        <cfvo type="max"/>
        <color rgb="FF638EC6"/>
      </dataBar>
    </cfRule>
    <cfRule type="dataBar" priority="78">
      <dataBar>
        <cfvo type="min"/>
        <cfvo type="max"/>
        <color rgb="FF638EC6"/>
      </dataBar>
    </cfRule>
    <cfRule type="dataBar" priority="79">
      <dataBar>
        <cfvo type="min"/>
        <cfvo type="max"/>
        <color rgb="FF638EC6"/>
      </dataBar>
    </cfRule>
  </conditionalFormatting>
  <conditionalFormatting sqref="C83:J90">
    <cfRule type="dataBar" priority="80">
      <dataBar>
        <cfvo type="min"/>
        <cfvo type="max"/>
        <color rgb="FF638EC6"/>
      </dataBar>
    </cfRule>
    <cfRule type="dataBar" priority="81">
      <dataBar>
        <cfvo type="min"/>
        <cfvo type="max"/>
        <color rgb="FF638EC6"/>
      </dataBar>
    </cfRule>
    <cfRule type="dataBar" priority="82">
      <dataBar>
        <cfvo type="min"/>
        <cfvo type="max"/>
        <color rgb="FF638EC6"/>
      </dataBar>
    </cfRule>
    <cfRule type="cellIs" priority="83" operator="greaterThan">
      <formula>$C$9</formula>
    </cfRule>
    <cfRule type="cellIs" priority="84" operator="greaterThan">
      <formula>0</formula>
    </cfRule>
    <cfRule type="dataBar" priority="85">
      <dataBar>
        <cfvo type="min"/>
        <cfvo type="max"/>
        <color rgb="FF638EC6"/>
      </dataBar>
    </cfRule>
    <cfRule type="dataBar" priority="86">
      <dataBar>
        <cfvo type="min"/>
        <cfvo type="max"/>
        <color rgb="FF638EC6"/>
      </dataBar>
    </cfRule>
    <cfRule type="dataBar" priority="87">
      <dataBar>
        <cfvo type="min"/>
        <cfvo type="max"/>
        <color rgb="FF638EC6"/>
      </dataBar>
    </cfRule>
    <cfRule type="dataBar" priority="88">
      <dataBar>
        <cfvo type="min"/>
        <cfvo type="max"/>
        <color rgb="FF638EC6"/>
      </dataBar>
    </cfRule>
    <cfRule type="dataBar" priority="89">
      <dataBar>
        <cfvo type="min"/>
        <cfvo type="max"/>
        <color rgb="FF638EC6"/>
      </dataBar>
    </cfRule>
    <cfRule type="dataBar" priority="90">
      <dataBar>
        <cfvo type="min"/>
        <cfvo type="max"/>
        <color rgb="FF638EC6"/>
      </dataBar>
    </cfRule>
  </conditionalFormatting>
  <conditionalFormatting sqref="C99:J104">
    <cfRule type="dataBar" priority="63">
      <dataBar>
        <cfvo type="min"/>
        <cfvo type="max"/>
        <color rgb="FF638EC6"/>
      </dataBar>
    </cfRule>
    <cfRule type="dataBar" priority="62">
      <dataBar>
        <cfvo type="min"/>
        <cfvo type="max"/>
        <color rgb="FF638EC6"/>
      </dataBar>
    </cfRule>
    <cfRule type="dataBar" priority="64">
      <dataBar>
        <cfvo type="min"/>
        <cfvo type="max"/>
        <color rgb="FF638EC6"/>
      </dataBar>
    </cfRule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{8E6E6547-A3CC-484B-8C13-2BB8E66D8F6E}</x14:id>
        </ext>
      </extLst>
    </cfRule>
  </conditionalFormatting>
  <conditionalFormatting sqref="C99:J106">
    <cfRule type="dataBar" priority="75">
      <dataBar>
        <cfvo type="min"/>
        <cfvo type="max"/>
        <color rgb="FF638EC6"/>
      </dataBar>
    </cfRule>
    <cfRule type="dataBar" priority="74">
      <dataBar>
        <cfvo type="min"/>
        <cfvo type="max"/>
        <color rgb="FF638EC6"/>
      </dataBar>
    </cfRule>
    <cfRule type="dataBar" priority="73">
      <dataBar>
        <cfvo type="min"/>
        <cfvo type="max"/>
        <color rgb="FF638EC6"/>
      </dataBar>
    </cfRule>
    <cfRule type="dataBar" priority="72">
      <dataBar>
        <cfvo type="min"/>
        <cfvo type="max"/>
        <color rgb="FF638EC6"/>
      </dataBar>
    </cfRule>
    <cfRule type="dataBar" priority="71">
      <dataBar>
        <cfvo type="min"/>
        <cfvo type="max"/>
        <color rgb="FF638EC6"/>
      </dataBar>
    </cfRule>
    <cfRule type="dataBar" priority="70">
      <dataBar>
        <cfvo type="min"/>
        <cfvo type="max"/>
        <color rgb="FF638EC6"/>
      </dataBar>
    </cfRule>
    <cfRule type="cellIs" priority="69" operator="greaterThan">
      <formula>0</formula>
    </cfRule>
    <cfRule type="cellIs" priority="68" operator="greaterThan">
      <formula>$C$9</formula>
    </cfRule>
    <cfRule type="dataBar" priority="67">
      <dataBar>
        <cfvo type="min"/>
        <cfvo type="max"/>
        <color rgb="FF638EC6"/>
      </dataBar>
    </cfRule>
    <cfRule type="dataBar" priority="66">
      <dataBar>
        <cfvo type="min"/>
        <cfvo type="max"/>
        <color rgb="FF638EC6"/>
      </dataBar>
    </cfRule>
    <cfRule type="dataBar" priority="65">
      <dataBar>
        <cfvo type="min"/>
        <cfvo type="max"/>
        <color rgb="FF638EC6"/>
      </dataBar>
    </cfRule>
  </conditionalFormatting>
  <conditionalFormatting sqref="C115:J120">
    <cfRule type="dataBar" priority="49">
      <dataBar>
        <cfvo type="min"/>
        <cfvo type="max"/>
        <color rgb="FF638EC6"/>
      </dataBar>
    </cfRule>
    <cfRule type="dataBar" priority="48">
      <dataBar>
        <cfvo type="min"/>
        <cfvo type="max"/>
        <color rgb="FF638EC6"/>
      </dataBar>
    </cfRule>
    <cfRule type="dataBar" priority="47">
      <dataBar>
        <cfvo type="min"/>
        <cfvo type="max"/>
        <color rgb="FF638EC6"/>
      </dataBar>
    </cfRule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{FAC2BD46-C1F7-4309-AB23-D29DCD6F78DC}</x14:id>
        </ext>
      </extLst>
    </cfRule>
  </conditionalFormatting>
  <conditionalFormatting sqref="C115:J122">
    <cfRule type="dataBar" priority="56">
      <dataBar>
        <cfvo type="min"/>
        <cfvo type="max"/>
        <color rgb="FF638EC6"/>
      </dataBar>
    </cfRule>
    <cfRule type="dataBar" priority="55">
      <dataBar>
        <cfvo type="min"/>
        <cfvo type="max"/>
        <color rgb="FF638EC6"/>
      </dataBar>
    </cfRule>
    <cfRule type="cellIs" priority="54" operator="greaterThan">
      <formula>0</formula>
    </cfRule>
    <cfRule type="cellIs" priority="53" operator="greaterThan">
      <formula>$C$9</formula>
    </cfRule>
    <cfRule type="dataBar" priority="52">
      <dataBar>
        <cfvo type="min"/>
        <cfvo type="max"/>
        <color rgb="FF638EC6"/>
      </dataBar>
    </cfRule>
    <cfRule type="dataBar" priority="51">
      <dataBar>
        <cfvo type="min"/>
        <cfvo type="max"/>
        <color rgb="FF638EC6"/>
      </dataBar>
    </cfRule>
    <cfRule type="dataBar" priority="50">
      <dataBar>
        <cfvo type="min"/>
        <cfvo type="max"/>
        <color rgb="FF638EC6"/>
      </dataBar>
    </cfRule>
    <cfRule type="dataBar" priority="60">
      <dataBar>
        <cfvo type="min"/>
        <cfvo type="max"/>
        <color rgb="FF638EC6"/>
      </dataBar>
    </cfRule>
    <cfRule type="dataBar" priority="59">
      <dataBar>
        <cfvo type="min"/>
        <cfvo type="max"/>
        <color rgb="FF638EC6"/>
      </dataBar>
    </cfRule>
    <cfRule type="dataBar" priority="58">
      <dataBar>
        <cfvo type="min"/>
        <cfvo type="max"/>
        <color rgb="FF638EC6"/>
      </dataBar>
    </cfRule>
    <cfRule type="dataBar" priority="57">
      <dataBar>
        <cfvo type="min"/>
        <cfvo type="max"/>
        <color rgb="FF638EC6"/>
      </dataBar>
    </cfRule>
  </conditionalFormatting>
  <conditionalFormatting sqref="C131:J136">
    <cfRule type="dataBar" priority="34">
      <dataBar>
        <cfvo type="min"/>
        <cfvo type="max"/>
        <color rgb="FF638EC6"/>
      </dataBar>
    </cfRule>
    <cfRule type="dataBar" priority="33">
      <dataBar>
        <cfvo type="min"/>
        <cfvo type="max"/>
        <color rgb="FF638EC6"/>
      </dataBar>
    </cfRule>
    <cfRule type="dataBar" priority="32">
      <dataBar>
        <cfvo type="min"/>
        <cfvo type="max"/>
        <color rgb="FF638EC6"/>
      </dataBar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{AC141F09-FA7B-418C-A903-80C8AD68D878}</x14:id>
        </ext>
      </extLst>
    </cfRule>
  </conditionalFormatting>
  <conditionalFormatting sqref="C131:J138">
    <cfRule type="dataBar" priority="42">
      <dataBar>
        <cfvo type="min"/>
        <cfvo type="max"/>
        <color rgb="FF638EC6"/>
      </dataBar>
    </cfRule>
    <cfRule type="dataBar" priority="40">
      <dataBar>
        <cfvo type="min"/>
        <cfvo type="max"/>
        <color rgb="FF638EC6"/>
      </dataBar>
    </cfRule>
    <cfRule type="cellIs" priority="39" operator="greaterThan">
      <formula>0</formula>
    </cfRule>
    <cfRule type="cellIs" priority="38" operator="greaterThan">
      <formula>$C$9</formula>
    </cfRule>
    <cfRule type="dataBar" priority="37">
      <dataBar>
        <cfvo type="min"/>
        <cfvo type="max"/>
        <color rgb="FF638EC6"/>
      </dataBar>
    </cfRule>
    <cfRule type="dataBar" priority="36">
      <dataBar>
        <cfvo type="min"/>
        <cfvo type="max"/>
        <color rgb="FF638EC6"/>
      </dataBar>
    </cfRule>
    <cfRule type="dataBar" priority="35">
      <dataBar>
        <cfvo type="min"/>
        <cfvo type="max"/>
        <color rgb="FF638EC6"/>
      </dataBar>
    </cfRule>
    <cfRule type="dataBar" priority="45">
      <dataBar>
        <cfvo type="min"/>
        <cfvo type="max"/>
        <color rgb="FF638EC6"/>
      </dataBar>
    </cfRule>
    <cfRule type="dataBar" priority="44">
      <dataBar>
        <cfvo type="min"/>
        <cfvo type="max"/>
        <color rgb="FF638EC6"/>
      </dataBar>
    </cfRule>
    <cfRule type="dataBar" priority="43">
      <dataBar>
        <cfvo type="min"/>
        <cfvo type="max"/>
        <color rgb="FF638EC6"/>
      </dataBar>
    </cfRule>
    <cfRule type="dataBar" priority="41">
      <dataBar>
        <cfvo type="min"/>
        <cfvo type="max"/>
        <color rgb="FF638EC6"/>
      </dataBar>
    </cfRule>
  </conditionalFormatting>
  <conditionalFormatting sqref="C147:J152">
    <cfRule type="dataBar" priority="19">
      <dataBar>
        <cfvo type="min"/>
        <cfvo type="max"/>
        <color rgb="FF638EC6"/>
      </dataBar>
    </cfRule>
    <cfRule type="dataBar" priority="18">
      <dataBar>
        <cfvo type="min"/>
        <cfvo type="max"/>
        <color rgb="FF638EC6"/>
      </dataBar>
    </cfRule>
    <cfRule type="dataBar" priority="17">
      <dataBar>
        <cfvo type="min"/>
        <cfvo type="max"/>
        <color rgb="FF638EC6"/>
      </dataBar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{FB4BBEBD-DDBF-4816-8E5E-FEF62588B9F8}</x14:id>
        </ext>
      </extLst>
    </cfRule>
  </conditionalFormatting>
  <conditionalFormatting sqref="C147:J154">
    <cfRule type="dataBar" priority="30">
      <dataBar>
        <cfvo type="min"/>
        <cfvo type="max"/>
        <color rgb="FF638EC6"/>
      </dataBar>
    </cfRule>
    <cfRule type="dataBar" priority="29">
      <dataBar>
        <cfvo type="min"/>
        <cfvo type="max"/>
        <color rgb="FF638EC6"/>
      </dataBar>
    </cfRule>
    <cfRule type="dataBar" priority="28">
      <dataBar>
        <cfvo type="min"/>
        <cfvo type="max"/>
        <color rgb="FF638EC6"/>
      </dataBar>
    </cfRule>
    <cfRule type="dataBar" priority="27">
      <dataBar>
        <cfvo type="min"/>
        <cfvo type="max"/>
        <color rgb="FF638EC6"/>
      </dataBar>
    </cfRule>
    <cfRule type="dataBar" priority="26">
      <dataBar>
        <cfvo type="min"/>
        <cfvo type="max"/>
        <color rgb="FF638EC6"/>
      </dataBar>
    </cfRule>
    <cfRule type="dataBar" priority="25">
      <dataBar>
        <cfvo type="min"/>
        <cfvo type="max"/>
        <color rgb="FF638EC6"/>
      </dataBar>
    </cfRule>
    <cfRule type="cellIs" priority="24" operator="greaterThan">
      <formula>0</formula>
    </cfRule>
    <cfRule type="cellIs" priority="23" operator="greaterThan">
      <formula>$C$9</formula>
    </cfRule>
    <cfRule type="dataBar" priority="22">
      <dataBar>
        <cfvo type="min"/>
        <cfvo type="max"/>
        <color rgb="FF638EC6"/>
      </dataBar>
    </cfRule>
    <cfRule type="dataBar" priority="20">
      <dataBar>
        <cfvo type="min"/>
        <cfvo type="max"/>
        <color rgb="FF638EC6"/>
      </dataBar>
    </cfRule>
    <cfRule type="dataBar" priority="21">
      <dataBar>
        <cfvo type="min"/>
        <cfvo type="max"/>
        <color rgb="FF638EC6"/>
      </dataBar>
    </cfRule>
  </conditionalFormatting>
  <conditionalFormatting sqref="C163:J168">
    <cfRule type="dataBar" priority="4">
      <dataBar>
        <cfvo type="min"/>
        <cfvo type="max"/>
        <color rgb="FF638EC6"/>
      </dataBar>
    </cfRule>
    <cfRule type="dataBar" priority="3">
      <dataBar>
        <cfvo type="min"/>
        <cfvo type="max"/>
        <color rgb="FF638EC6"/>
      </dataBar>
    </cfRule>
    <cfRule type="dataBar" priority="2">
      <dataBar>
        <cfvo type="min"/>
        <cfvo type="max"/>
        <color rgb="FF638EC6"/>
      </dataBar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{C3EE95EC-4D8F-4E74-BFE4-67D165D3C8E6}</x14:id>
        </ext>
      </extLst>
    </cfRule>
  </conditionalFormatting>
  <conditionalFormatting sqref="C163:J170">
    <cfRule type="dataBar" priority="15">
      <dataBar>
        <cfvo type="min"/>
        <cfvo type="max"/>
        <color rgb="FF638EC6"/>
      </dataBar>
    </cfRule>
    <cfRule type="dataBar" priority="14">
      <dataBar>
        <cfvo type="min"/>
        <cfvo type="max"/>
        <color rgb="FF638EC6"/>
      </dataBar>
    </cfRule>
    <cfRule type="dataBar" priority="13">
      <dataBar>
        <cfvo type="min"/>
        <cfvo type="max"/>
        <color rgb="FF638EC6"/>
      </dataBar>
    </cfRule>
    <cfRule type="dataBar" priority="12">
      <dataBar>
        <cfvo type="min"/>
        <cfvo type="max"/>
        <color rgb="FF638EC6"/>
      </dataBar>
    </cfRule>
    <cfRule type="dataBar" priority="11">
      <dataBar>
        <cfvo type="min"/>
        <cfvo type="max"/>
        <color rgb="FF638EC6"/>
      </dataBar>
    </cfRule>
    <cfRule type="dataBar" priority="10">
      <dataBar>
        <cfvo type="min"/>
        <cfvo type="max"/>
        <color rgb="FF638EC6"/>
      </dataBar>
    </cfRule>
    <cfRule type="cellIs" priority="9" operator="greaterThan">
      <formula>0</formula>
    </cfRule>
    <cfRule type="cellIs" priority="8" operator="greaterThan">
      <formula>$C$9</formula>
    </cfRule>
    <cfRule type="dataBar" priority="7">
      <dataBar>
        <cfvo type="min"/>
        <cfvo type="max"/>
        <color rgb="FF638EC6"/>
      </dataBar>
    </cfRule>
    <cfRule type="dataBar" priority="6">
      <dataBar>
        <cfvo type="min"/>
        <cfvo type="max"/>
        <color rgb="FF638EC6"/>
      </dataBar>
    </cfRule>
    <cfRule type="dataBar" priority="5">
      <dataBar>
        <cfvo type="min"/>
        <cfvo type="max"/>
        <color rgb="FF638EC6"/>
      </dataBar>
    </cfRule>
  </conditionalFormatting>
  <conditionalFormatting sqref="C179:J186">
    <cfRule type="dataBar" priority="176">
      <dataBar>
        <cfvo type="min"/>
        <cfvo type="max"/>
        <color rgb="FF638EC6"/>
      </dataBar>
    </cfRule>
  </conditionalFormatting>
  <conditionalFormatting sqref="C195:J202">
    <cfRule type="dataBar" priority="175">
      <dataBar>
        <cfvo type="min"/>
        <cfvo type="max"/>
        <color rgb="FF638EC6"/>
      </dataBar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5A36E5-61BF-4382-8412-EEFD5051C3C9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C3:J8</xm:sqref>
        </x14:conditionalFormatting>
        <x14:conditionalFormatting xmlns:xm="http://schemas.microsoft.com/office/excel/2006/main">
          <x14:cfRule type="dataBar" id="{644DD308-F332-461E-B49E-12A893C1E11F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C19:J24</xm:sqref>
        </x14:conditionalFormatting>
        <x14:conditionalFormatting xmlns:xm="http://schemas.microsoft.com/office/excel/2006/main">
          <x14:cfRule type="dataBar" id="{B64A7D68-E824-4364-B66F-7ADE876232FD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C35:J40</xm:sqref>
        </x14:conditionalFormatting>
        <x14:conditionalFormatting xmlns:xm="http://schemas.microsoft.com/office/excel/2006/main">
          <x14:cfRule type="dataBar" id="{70080C94-0F14-4F19-BF2A-6D925B290914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C51:J56</xm:sqref>
        </x14:conditionalFormatting>
        <x14:conditionalFormatting xmlns:xm="http://schemas.microsoft.com/office/excel/2006/main">
          <x14:cfRule type="dataBar" id="{11C3CB40-232D-408A-BD4E-F72B056E728E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C67:J72</xm:sqref>
        </x14:conditionalFormatting>
        <x14:conditionalFormatting xmlns:xm="http://schemas.microsoft.com/office/excel/2006/main">
          <x14:cfRule type="dataBar" id="{64D73540-13C2-4A79-9A37-87DF0B12CB4D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C83:J88</xm:sqref>
        </x14:conditionalFormatting>
        <x14:conditionalFormatting xmlns:xm="http://schemas.microsoft.com/office/excel/2006/main">
          <x14:cfRule type="dataBar" id="{8E6E6547-A3CC-484B-8C13-2BB8E66D8F6E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C99:J104</xm:sqref>
        </x14:conditionalFormatting>
        <x14:conditionalFormatting xmlns:xm="http://schemas.microsoft.com/office/excel/2006/main">
          <x14:cfRule type="dataBar" id="{FAC2BD46-C1F7-4309-AB23-D29DCD6F78DC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C115:J120</xm:sqref>
        </x14:conditionalFormatting>
        <x14:conditionalFormatting xmlns:xm="http://schemas.microsoft.com/office/excel/2006/main">
          <x14:cfRule type="dataBar" id="{AC141F09-FA7B-418C-A903-80C8AD68D878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C131:J136</xm:sqref>
        </x14:conditionalFormatting>
        <x14:conditionalFormatting xmlns:xm="http://schemas.microsoft.com/office/excel/2006/main">
          <x14:cfRule type="dataBar" id="{FB4BBEBD-DDBF-4816-8E5E-FEF62588B9F8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C147:J152</xm:sqref>
        </x14:conditionalFormatting>
        <x14:conditionalFormatting xmlns:xm="http://schemas.microsoft.com/office/excel/2006/main">
          <x14:cfRule type="dataBar" id="{C3EE95EC-4D8F-4E74-BFE4-67D165D3C8E6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C163:J168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5"/>
  <sheetViews>
    <sheetView workbookViewId="0">
      <selection activeCell="G15" sqref="G15"/>
    </sheetView>
  </sheetViews>
  <sheetFormatPr baseColWidth="10" defaultColWidth="11.42578125" defaultRowHeight="15" x14ac:dyDescent="0.25"/>
  <cols>
    <col min="1" max="1" width="21.5703125" customWidth="1"/>
  </cols>
  <sheetData>
    <row r="1" spans="1:3" ht="15" customHeight="1" x14ac:dyDescent="0.25">
      <c r="A1" s="76" t="s">
        <v>5</v>
      </c>
      <c r="B1" s="77" t="s">
        <v>62</v>
      </c>
      <c r="C1" s="77" t="s">
        <v>63</v>
      </c>
    </row>
    <row r="2" spans="1:3" x14ac:dyDescent="0.25">
      <c r="A2" s="76" t="s">
        <v>58</v>
      </c>
      <c r="B2" s="48"/>
      <c r="C2" s="48"/>
    </row>
    <row r="3" spans="1:3" x14ac:dyDescent="0.25">
      <c r="A3" s="76" t="s">
        <v>64</v>
      </c>
      <c r="B3" s="78"/>
      <c r="C3" s="78"/>
    </row>
    <row r="4" spans="1:3" x14ac:dyDescent="0.25">
      <c r="A4" s="76" t="s">
        <v>65</v>
      </c>
      <c r="B4" s="78"/>
      <c r="C4" s="78"/>
    </row>
    <row r="5" spans="1:3" x14ac:dyDescent="0.25">
      <c r="A5" s="76" t="s">
        <v>66</v>
      </c>
      <c r="B5" s="78"/>
      <c r="C5" s="78"/>
    </row>
    <row r="6" spans="1:3" x14ac:dyDescent="0.25">
      <c r="A6" s="76" t="s">
        <v>67</v>
      </c>
      <c r="B6" s="78"/>
      <c r="C6" s="78"/>
    </row>
    <row r="7" spans="1:3" ht="15.75" customHeight="1" x14ac:dyDescent="0.25">
      <c r="A7" s="76" t="s">
        <v>68</v>
      </c>
      <c r="B7" s="78"/>
      <c r="C7" s="78"/>
    </row>
    <row r="8" spans="1:3" ht="15.75" customHeight="1" x14ac:dyDescent="0.25">
      <c r="A8" s="76" t="s">
        <v>69</v>
      </c>
      <c r="B8" s="78"/>
      <c r="C8" s="78"/>
    </row>
    <row r="9" spans="1:3" ht="15.75" customHeight="1" x14ac:dyDescent="0.25">
      <c r="A9" s="76" t="s">
        <v>70</v>
      </c>
      <c r="B9" s="78"/>
      <c r="C9" s="78"/>
    </row>
    <row r="10" spans="1:3" ht="15" customHeight="1" x14ac:dyDescent="0.25">
      <c r="A10" s="79" t="s">
        <v>71</v>
      </c>
      <c r="B10" s="78"/>
      <c r="C10" s="78"/>
    </row>
    <row r="11" spans="1:3" ht="15" customHeight="1" x14ac:dyDescent="0.35">
      <c r="A11" s="76" t="s">
        <v>72</v>
      </c>
      <c r="B11" s="78"/>
      <c r="C11" s="78"/>
    </row>
    <row r="12" spans="1:3" ht="15.75" customHeight="1" x14ac:dyDescent="0.25"/>
    <row r="13" spans="1:3" ht="15.75" customHeight="1" x14ac:dyDescent="0.25"/>
    <row r="15" spans="1:3" ht="15" customHeight="1" x14ac:dyDescent="0.25"/>
    <row r="18" ht="15" customHeight="1" x14ac:dyDescent="0.25"/>
    <row r="23" ht="15.75" customHeight="1" x14ac:dyDescent="0.25"/>
    <row r="24" ht="15.75" customHeight="1" x14ac:dyDescent="0.25"/>
    <row r="25" ht="15.75" customHeight="1" x14ac:dyDescent="0.25"/>
    <row r="27" ht="15" customHeight="1" x14ac:dyDescent="0.25"/>
    <row r="28" ht="15" customHeight="1" x14ac:dyDescent="0.25"/>
    <row r="29" ht="15.75" customHeight="1" x14ac:dyDescent="0.25"/>
    <row r="31" ht="15.75" customHeight="1" x14ac:dyDescent="0.25"/>
    <row r="32" ht="15" customHeight="1" x14ac:dyDescent="0.25"/>
    <row r="35" ht="15" customHeight="1" x14ac:dyDescent="0.25"/>
    <row r="39" ht="15.75" customHeight="1" x14ac:dyDescent="0.25"/>
    <row r="40" ht="15.75" customHeight="1" x14ac:dyDescent="0.25"/>
    <row r="41" ht="15.75" customHeight="1" x14ac:dyDescent="0.25"/>
    <row r="44" ht="15" customHeight="1" x14ac:dyDescent="0.25"/>
    <row r="45" ht="15" customHeight="1" x14ac:dyDescent="0.25"/>
    <row r="47" ht="15.75" customHeight="1" x14ac:dyDescent="0.25"/>
    <row r="49" ht="15" customHeight="1" x14ac:dyDescent="0.25"/>
    <row r="52" ht="15" customHeight="1" x14ac:dyDescent="0.25"/>
    <row r="55" ht="15.75" customHeight="1" x14ac:dyDescent="0.25"/>
    <row r="56" ht="15.75" customHeight="1" x14ac:dyDescent="0.25"/>
    <row r="57" ht="15.75" customHeight="1" x14ac:dyDescent="0.25"/>
    <row r="60" ht="15.75" customHeight="1" x14ac:dyDescent="0.25"/>
    <row r="61" ht="15" customHeight="1" x14ac:dyDescent="0.25"/>
    <row r="62" ht="15" customHeight="1" x14ac:dyDescent="0.25"/>
    <row r="63" ht="15.75" customHeight="1" x14ac:dyDescent="0.25"/>
    <row r="66" ht="15" customHeight="1" x14ac:dyDescent="0.25"/>
    <row r="69" ht="15" customHeight="1" x14ac:dyDescent="0.25"/>
    <row r="71" ht="15.75" customHeight="1" x14ac:dyDescent="0.25"/>
    <row r="72" ht="15.75" customHeight="1" x14ac:dyDescent="0.25"/>
    <row r="73" ht="15.75" customHeight="1" x14ac:dyDescent="0.25"/>
    <row r="76" ht="15.75" customHeight="1" x14ac:dyDescent="0.25"/>
    <row r="77" ht="15.75" customHeight="1" x14ac:dyDescent="0.25"/>
    <row r="78" ht="15" customHeight="1" x14ac:dyDescent="0.25"/>
    <row r="79" ht="15" customHeight="1" x14ac:dyDescent="0.25"/>
    <row r="83" ht="15" customHeight="1" x14ac:dyDescent="0.25"/>
    <row r="86" ht="15" customHeight="1" x14ac:dyDescent="0.25"/>
    <row r="87" ht="15.75" customHeight="1" x14ac:dyDescent="0.25"/>
    <row r="88" ht="15.75" customHeight="1" x14ac:dyDescent="0.25"/>
    <row r="89" ht="15.75" customHeight="1" x14ac:dyDescent="0.25"/>
    <row r="92" ht="15.75" customHeight="1" x14ac:dyDescent="0.25"/>
    <row r="93" ht="15.75" customHeight="1" x14ac:dyDescent="0.25"/>
    <row r="95" ht="15" customHeight="1" x14ac:dyDescent="0.25"/>
    <row r="96" ht="15" customHeight="1" x14ac:dyDescent="0.25"/>
    <row r="100" ht="15" customHeight="1" x14ac:dyDescent="0.25"/>
    <row r="103" ht="15" customHeight="1" x14ac:dyDescent="0.25"/>
    <row r="104" ht="15.75" customHeight="1" x14ac:dyDescent="0.25"/>
    <row r="105" ht="15.75" customHeight="1" x14ac:dyDescent="0.25"/>
    <row r="108" ht="15.75" customHeight="1" x14ac:dyDescent="0.25"/>
    <row r="109" ht="15.75" customHeight="1" x14ac:dyDescent="0.25"/>
    <row r="111" ht="15.75" customHeight="1" x14ac:dyDescent="0.25"/>
    <row r="112" ht="15" customHeight="1" x14ac:dyDescent="0.25"/>
    <row r="113" ht="15" customHeight="1" x14ac:dyDescent="0.25"/>
    <row r="117" ht="15" customHeight="1" x14ac:dyDescent="0.25"/>
    <row r="119" ht="15.75" customHeight="1" x14ac:dyDescent="0.25"/>
    <row r="120" ht="15" customHeight="1" x14ac:dyDescent="0.25"/>
    <row r="121" ht="15.75" customHeight="1" x14ac:dyDescent="0.25"/>
    <row r="124" ht="15.75" customHeight="1" x14ac:dyDescent="0.25"/>
    <row r="125" ht="15.75" customHeight="1" x14ac:dyDescent="0.25"/>
    <row r="127" ht="15.75" customHeight="1" x14ac:dyDescent="0.25"/>
    <row r="129" ht="15" customHeight="1" x14ac:dyDescent="0.25"/>
    <row r="130" ht="15" customHeight="1" x14ac:dyDescent="0.25"/>
    <row r="134" ht="15" customHeight="1" x14ac:dyDescent="0.25"/>
    <row r="135" ht="15.75" customHeight="1" x14ac:dyDescent="0.25"/>
    <row r="136" ht="15.75" customHeight="1" x14ac:dyDescent="0.25"/>
    <row r="137" ht="15" customHeight="1" x14ac:dyDescent="0.25"/>
    <row r="140" ht="15.75" customHeight="1" x14ac:dyDescent="0.25"/>
    <row r="141" ht="15.75" customHeight="1" x14ac:dyDescent="0.25"/>
    <row r="143" ht="15.75" customHeight="1" x14ac:dyDescent="0.25"/>
    <row r="146" ht="15" customHeight="1" x14ac:dyDescent="0.25"/>
    <row r="147" ht="15" customHeight="1" x14ac:dyDescent="0.25"/>
    <row r="151" ht="15" customHeight="1" x14ac:dyDescent="0.25"/>
    <row r="152" ht="15.75" customHeight="1" x14ac:dyDescent="0.25"/>
    <row r="153" ht="15.75" customHeight="1" x14ac:dyDescent="0.25"/>
    <row r="154" ht="15" customHeight="1" x14ac:dyDescent="0.25"/>
    <row r="156" ht="15.75" customHeight="1" x14ac:dyDescent="0.25"/>
    <row r="157" ht="15.75" customHeight="1" x14ac:dyDescent="0.25"/>
    <row r="159" ht="15.75" customHeight="1" x14ac:dyDescent="0.25"/>
    <row r="163" ht="15" customHeight="1" x14ac:dyDescent="0.25"/>
    <row r="164" ht="15" customHeight="1" x14ac:dyDescent="0.25"/>
    <row r="167" ht="15.75" customHeight="1" x14ac:dyDescent="0.25"/>
    <row r="168" ht="15" customHeight="1" x14ac:dyDescent="0.25"/>
    <row r="169" ht="15.75" customHeight="1" x14ac:dyDescent="0.25"/>
    <row r="171" ht="15" customHeight="1" x14ac:dyDescent="0.25"/>
    <row r="172" ht="15.75" customHeight="1" x14ac:dyDescent="0.25"/>
    <row r="173" ht="15.75" customHeight="1" x14ac:dyDescent="0.25"/>
    <row r="176" ht="15.75" customHeight="1" x14ac:dyDescent="0.25"/>
    <row r="180" ht="15" customHeight="1" x14ac:dyDescent="0.25"/>
    <row r="181" ht="15" customHeight="1" x14ac:dyDescent="0.25"/>
    <row r="184" ht="15.75" customHeight="1" x14ac:dyDescent="0.25"/>
    <row r="185" ht="15" customHeight="1" x14ac:dyDescent="0.25"/>
    <row r="186" ht="15.75" customHeight="1" x14ac:dyDescent="0.25"/>
    <row r="188" ht="15" customHeight="1" x14ac:dyDescent="0.25"/>
    <row r="189" ht="15.75" customHeight="1" x14ac:dyDescent="0.25"/>
    <row r="190" ht="15.75" customHeight="1" x14ac:dyDescent="0.25"/>
    <row r="192" ht="15.75" customHeight="1" x14ac:dyDescent="0.25"/>
    <row r="197" ht="15" customHeight="1" x14ac:dyDescent="0.25"/>
    <row r="198" ht="15" customHeight="1" x14ac:dyDescent="0.25"/>
    <row r="200" ht="15.75" customHeight="1" x14ac:dyDescent="0.25"/>
    <row r="201" ht="15.75" customHeight="1" x14ac:dyDescent="0.25"/>
    <row r="202" ht="15" customHeight="1" x14ac:dyDescent="0.25"/>
    <row r="203" ht="15.75" customHeight="1" x14ac:dyDescent="0.25"/>
    <row r="205" ht="15" customHeight="1" x14ac:dyDescent="0.25"/>
    <row r="214" ht="15" customHeight="1" x14ac:dyDescent="0.25"/>
    <row r="215" ht="1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7129-C832-4DEB-A162-516A8D12AA8D}">
  <dimension ref="A1:AM40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3" bestFit="1" customWidth="1"/>
    <col min="2" max="2" width="16.7109375" bestFit="1" customWidth="1"/>
    <col min="3" max="3" width="15.28515625" bestFit="1" customWidth="1"/>
    <col min="4" max="4" width="12.28515625" bestFit="1" customWidth="1"/>
    <col min="5" max="5" width="12.28515625" style="81" customWidth="1"/>
    <col min="6" max="6" width="12.42578125" bestFit="1" customWidth="1"/>
    <col min="7" max="7" width="16.7109375" bestFit="1" customWidth="1"/>
    <col min="8" max="8" width="16" bestFit="1" customWidth="1"/>
    <col min="9" max="9" width="12.7109375" bestFit="1" customWidth="1"/>
    <col min="10" max="10" width="12.7109375" style="81" customWidth="1"/>
    <col min="12" max="12" width="16.7109375" bestFit="1" customWidth="1"/>
    <col min="13" max="13" width="16" bestFit="1" customWidth="1"/>
    <col min="14" max="14" width="12.7109375" bestFit="1" customWidth="1"/>
    <col min="15" max="15" width="12.7109375" style="81" customWidth="1"/>
    <col min="16" max="16" width="12.42578125" customWidth="1"/>
    <col min="17" max="17" width="16.7109375" bestFit="1" customWidth="1"/>
    <col min="18" max="18" width="16" bestFit="1" customWidth="1"/>
    <col min="19" max="19" width="12.7109375" bestFit="1" customWidth="1"/>
    <col min="20" max="20" width="12.7109375" style="81" customWidth="1"/>
    <col min="22" max="22" width="16.7109375" bestFit="1" customWidth="1"/>
    <col min="23" max="23" width="16" bestFit="1" customWidth="1"/>
    <col min="24" max="24" width="12.7109375" bestFit="1" customWidth="1"/>
    <col min="25" max="25" width="12.7109375" style="81" customWidth="1"/>
    <col min="27" max="27" width="16.7109375" bestFit="1" customWidth="1"/>
    <col min="28" max="28" width="16" bestFit="1" customWidth="1"/>
    <col min="29" max="29" width="12.7109375" bestFit="1" customWidth="1"/>
    <col min="30" max="30" width="12.7109375" style="81" customWidth="1"/>
    <col min="32" max="32" width="16.7109375" bestFit="1" customWidth="1"/>
    <col min="33" max="33" width="16" bestFit="1" customWidth="1"/>
    <col min="34" max="34" width="12.7109375" bestFit="1" customWidth="1"/>
    <col min="35" max="35" width="11.42578125" style="81"/>
    <col min="37" max="37" width="16.7109375" bestFit="1" customWidth="1"/>
    <col min="38" max="38" width="16" bestFit="1" customWidth="1"/>
    <col min="39" max="39" width="12.7109375" bestFit="1" customWidth="1"/>
  </cols>
  <sheetData>
    <row r="1" spans="1:39" x14ac:dyDescent="0.25">
      <c r="A1" s="231" t="s">
        <v>73</v>
      </c>
      <c r="B1" s="232"/>
      <c r="C1" s="232"/>
      <c r="D1" s="233"/>
      <c r="E1" s="80"/>
      <c r="F1" s="231" t="s">
        <v>74</v>
      </c>
      <c r="G1" s="232"/>
      <c r="H1" s="232"/>
      <c r="I1" s="233"/>
      <c r="J1" s="80"/>
      <c r="K1" s="231" t="s">
        <v>75</v>
      </c>
      <c r="L1" s="232"/>
      <c r="M1" s="232"/>
      <c r="N1" s="233"/>
      <c r="O1" s="80"/>
      <c r="P1" s="231" t="s">
        <v>76</v>
      </c>
      <c r="Q1" s="232"/>
      <c r="R1" s="232"/>
      <c r="S1" s="233"/>
      <c r="T1" s="80"/>
      <c r="U1" s="231" t="s">
        <v>77</v>
      </c>
      <c r="V1" s="232"/>
      <c r="W1" s="232"/>
      <c r="X1" s="233"/>
      <c r="Y1" s="80"/>
      <c r="Z1" s="231" t="s">
        <v>78</v>
      </c>
      <c r="AA1" s="232"/>
      <c r="AB1" s="232"/>
      <c r="AC1" s="233"/>
      <c r="AD1" s="80"/>
      <c r="AE1" s="231" t="s">
        <v>79</v>
      </c>
      <c r="AF1" s="232"/>
      <c r="AG1" s="232"/>
      <c r="AH1" s="233"/>
      <c r="AJ1" s="231" t="s">
        <v>80</v>
      </c>
      <c r="AK1" s="232"/>
      <c r="AL1" s="232"/>
      <c r="AM1" s="233"/>
    </row>
    <row r="2" spans="1:39" x14ac:dyDescent="0.25">
      <c r="A2" s="135" t="s">
        <v>81</v>
      </c>
      <c r="B2" s="135" t="s">
        <v>82</v>
      </c>
      <c r="C2" s="135" t="s">
        <v>83</v>
      </c>
      <c r="D2" s="135" t="s">
        <v>8</v>
      </c>
      <c r="E2" s="80"/>
      <c r="F2" s="135" t="s">
        <v>81</v>
      </c>
      <c r="G2" s="135" t="s">
        <v>82</v>
      </c>
      <c r="H2" s="135" t="s">
        <v>83</v>
      </c>
      <c r="I2" s="135" t="s">
        <v>8</v>
      </c>
      <c r="J2" s="80"/>
      <c r="K2" s="135" t="s">
        <v>81</v>
      </c>
      <c r="L2" s="135" t="s">
        <v>82</v>
      </c>
      <c r="M2" s="135" t="s">
        <v>83</v>
      </c>
      <c r="N2" s="135" t="s">
        <v>8</v>
      </c>
      <c r="O2" s="80"/>
      <c r="P2" s="135" t="s">
        <v>81</v>
      </c>
      <c r="Q2" s="135" t="s">
        <v>82</v>
      </c>
      <c r="R2" s="135" t="s">
        <v>83</v>
      </c>
      <c r="S2" s="135" t="s">
        <v>8</v>
      </c>
      <c r="T2" s="80"/>
      <c r="U2" s="135" t="s">
        <v>81</v>
      </c>
      <c r="V2" s="135" t="s">
        <v>82</v>
      </c>
      <c r="W2" s="135" t="s">
        <v>83</v>
      </c>
      <c r="X2" s="135" t="s">
        <v>8</v>
      </c>
      <c r="Y2" s="80"/>
      <c r="Z2" s="135" t="s">
        <v>81</v>
      </c>
      <c r="AA2" s="135" t="s">
        <v>82</v>
      </c>
      <c r="AB2" s="135" t="s">
        <v>83</v>
      </c>
      <c r="AC2" s="135" t="s">
        <v>8</v>
      </c>
      <c r="AD2" s="80"/>
      <c r="AE2" s="135" t="s">
        <v>81</v>
      </c>
      <c r="AF2" s="135" t="s">
        <v>82</v>
      </c>
      <c r="AG2" s="135" t="s">
        <v>83</v>
      </c>
      <c r="AH2" s="135" t="s">
        <v>8</v>
      </c>
      <c r="AJ2" s="135" t="s">
        <v>81</v>
      </c>
      <c r="AK2" s="135" t="s">
        <v>82</v>
      </c>
      <c r="AL2" s="135" t="s">
        <v>83</v>
      </c>
      <c r="AM2" s="135" t="s">
        <v>8</v>
      </c>
    </row>
    <row r="3" spans="1:39" x14ac:dyDescent="0.25">
      <c r="A3" s="82"/>
      <c r="B3" s="83"/>
      <c r="C3" s="82"/>
      <c r="D3" s="82"/>
      <c r="F3" s="82"/>
      <c r="G3" s="83"/>
      <c r="H3" s="82"/>
      <c r="I3" s="82"/>
      <c r="K3" s="82"/>
      <c r="L3" s="83"/>
      <c r="M3" s="82"/>
      <c r="N3" s="82"/>
      <c r="P3" s="82"/>
      <c r="Q3" s="83"/>
      <c r="R3" s="82"/>
      <c r="S3" s="82"/>
      <c r="U3" s="82"/>
      <c r="V3" s="83"/>
      <c r="W3" s="82"/>
      <c r="X3" s="82"/>
      <c r="Z3" s="82"/>
      <c r="AA3" s="83"/>
      <c r="AB3" s="82"/>
      <c r="AC3" s="82"/>
      <c r="AE3" s="82"/>
      <c r="AF3" s="83"/>
      <c r="AG3" s="82"/>
      <c r="AH3" s="82"/>
      <c r="AJ3" s="82"/>
      <c r="AK3" s="83"/>
      <c r="AL3" s="82"/>
      <c r="AM3" s="82"/>
    </row>
    <row r="4" spans="1:39" x14ac:dyDescent="0.25">
      <c r="A4" s="82"/>
      <c r="B4" s="83"/>
      <c r="C4" s="82"/>
      <c r="D4" s="82"/>
      <c r="F4" s="82"/>
      <c r="G4" s="83"/>
      <c r="H4" s="82"/>
      <c r="I4" s="82"/>
      <c r="K4" s="82"/>
      <c r="L4" s="83"/>
      <c r="M4" s="82"/>
      <c r="N4" s="82"/>
      <c r="P4" s="82"/>
      <c r="Q4" s="83"/>
      <c r="R4" s="82"/>
      <c r="S4" s="82"/>
      <c r="U4" s="82"/>
      <c r="V4" s="83"/>
      <c r="W4" s="82"/>
      <c r="X4" s="82"/>
      <c r="Z4" s="82"/>
      <c r="AA4" s="83"/>
      <c r="AB4" s="82"/>
      <c r="AC4" s="82"/>
      <c r="AE4" s="82"/>
      <c r="AF4" s="83"/>
      <c r="AG4" s="82"/>
      <c r="AH4" s="82"/>
      <c r="AJ4" s="82"/>
      <c r="AK4" s="83"/>
      <c r="AL4" s="82"/>
      <c r="AM4" s="82"/>
    </row>
    <row r="5" spans="1:39" x14ac:dyDescent="0.25">
      <c r="A5" s="82"/>
      <c r="B5" s="83"/>
      <c r="C5" s="82"/>
      <c r="D5" s="82"/>
      <c r="F5" s="82"/>
      <c r="G5" s="83"/>
      <c r="H5" s="82"/>
      <c r="I5" s="82"/>
      <c r="K5" s="82"/>
      <c r="L5" s="83"/>
      <c r="M5" s="82"/>
      <c r="N5" s="82"/>
      <c r="P5" s="82"/>
      <c r="Q5" s="83"/>
      <c r="R5" s="82"/>
      <c r="S5" s="82"/>
      <c r="U5" s="82"/>
      <c r="V5" s="83"/>
      <c r="W5" s="82"/>
      <c r="X5" s="82"/>
      <c r="Z5" s="82"/>
      <c r="AA5" s="83"/>
      <c r="AB5" s="82"/>
      <c r="AC5" s="82"/>
      <c r="AE5" s="82"/>
      <c r="AF5" s="83"/>
      <c r="AG5" s="82"/>
      <c r="AH5" s="82"/>
      <c r="AJ5" s="82"/>
      <c r="AK5" s="83"/>
      <c r="AL5" s="82"/>
      <c r="AM5" s="82"/>
    </row>
    <row r="6" spans="1:39" x14ac:dyDescent="0.25">
      <c r="A6" s="82"/>
      <c r="B6" s="83"/>
      <c r="C6" s="82"/>
      <c r="D6" s="82"/>
      <c r="F6" s="82"/>
      <c r="G6" s="83"/>
      <c r="H6" s="82"/>
      <c r="I6" s="82"/>
      <c r="K6" s="82"/>
      <c r="L6" s="83"/>
      <c r="M6" s="82"/>
      <c r="N6" s="82"/>
      <c r="P6" s="82"/>
      <c r="Q6" s="83"/>
      <c r="R6" s="82"/>
      <c r="S6" s="82"/>
      <c r="U6" s="82"/>
      <c r="V6" s="83"/>
      <c r="W6" s="82"/>
      <c r="X6" s="82"/>
      <c r="Z6" s="82"/>
      <c r="AA6" s="83"/>
      <c r="AB6" s="82"/>
      <c r="AC6" s="82"/>
      <c r="AE6" s="82"/>
      <c r="AF6" s="83"/>
      <c r="AG6" s="82"/>
      <c r="AH6" s="82"/>
      <c r="AJ6" s="82"/>
      <c r="AK6" s="83"/>
      <c r="AL6" s="82"/>
      <c r="AM6" s="82"/>
    </row>
    <row r="7" spans="1:39" x14ac:dyDescent="0.25">
      <c r="A7" s="82"/>
      <c r="B7" s="83"/>
      <c r="C7" s="82"/>
      <c r="D7" s="82"/>
      <c r="F7" s="82"/>
      <c r="G7" s="83"/>
      <c r="H7" s="82"/>
      <c r="I7" s="82"/>
      <c r="K7" s="82"/>
      <c r="L7" s="83"/>
      <c r="M7" s="82"/>
      <c r="N7" s="82"/>
      <c r="P7" s="82"/>
      <c r="Q7" s="83"/>
      <c r="R7" s="82"/>
      <c r="S7" s="82"/>
      <c r="U7" s="82"/>
      <c r="V7" s="83"/>
      <c r="W7" s="82"/>
      <c r="X7" s="82"/>
      <c r="Z7" s="82"/>
      <c r="AA7" s="83"/>
      <c r="AB7" s="82"/>
      <c r="AC7" s="82"/>
      <c r="AE7" s="82"/>
      <c r="AF7" s="83"/>
      <c r="AG7" s="82"/>
      <c r="AH7" s="82"/>
      <c r="AJ7" s="82"/>
      <c r="AK7" s="83"/>
      <c r="AL7" s="82"/>
      <c r="AM7" s="82"/>
    </row>
    <row r="8" spans="1:39" x14ac:dyDescent="0.25">
      <c r="A8" s="82"/>
      <c r="B8" s="83"/>
      <c r="C8" s="82"/>
      <c r="D8" s="82"/>
      <c r="F8" s="82"/>
      <c r="G8" s="83"/>
      <c r="H8" s="82"/>
      <c r="I8" s="82"/>
      <c r="K8" s="82"/>
      <c r="L8" s="83"/>
      <c r="M8" s="82"/>
      <c r="N8" s="82"/>
      <c r="P8" s="82"/>
      <c r="Q8" s="83"/>
      <c r="R8" s="82"/>
      <c r="S8" s="82"/>
      <c r="U8" s="82"/>
      <c r="V8" s="83"/>
      <c r="W8" s="82"/>
      <c r="X8" s="82"/>
      <c r="Z8" s="82"/>
      <c r="AA8" s="83"/>
      <c r="AB8" s="82"/>
      <c r="AC8" s="82"/>
      <c r="AE8" s="82"/>
      <c r="AF8" s="83"/>
      <c r="AG8" s="82"/>
      <c r="AH8" s="82"/>
      <c r="AJ8" s="82"/>
      <c r="AK8" s="83"/>
      <c r="AL8" s="82"/>
      <c r="AM8" s="82"/>
    </row>
    <row r="9" spans="1:39" x14ac:dyDescent="0.25">
      <c r="A9" s="82"/>
      <c r="B9" s="83"/>
      <c r="C9" s="82"/>
      <c r="D9" s="82"/>
      <c r="F9" s="82"/>
      <c r="G9" s="83"/>
      <c r="H9" s="82"/>
      <c r="I9" s="82"/>
      <c r="K9" s="82"/>
      <c r="L9" s="83"/>
      <c r="M9" s="82"/>
      <c r="N9" s="82"/>
      <c r="P9" s="82"/>
      <c r="Q9" s="83"/>
      <c r="R9" s="82"/>
      <c r="S9" s="82"/>
      <c r="U9" s="82"/>
      <c r="V9" s="83"/>
      <c r="W9" s="82"/>
      <c r="X9" s="82"/>
      <c r="Z9" s="82"/>
      <c r="AA9" s="83"/>
      <c r="AB9" s="82"/>
      <c r="AC9" s="82"/>
      <c r="AE9" s="82"/>
      <c r="AF9" s="83"/>
      <c r="AG9" s="82"/>
      <c r="AH9" s="82"/>
      <c r="AJ9" s="82"/>
      <c r="AK9" s="83"/>
      <c r="AL9" s="82"/>
      <c r="AM9" s="82"/>
    </row>
    <row r="10" spans="1:39" x14ac:dyDescent="0.25">
      <c r="A10" s="82"/>
      <c r="B10" s="83"/>
      <c r="C10" s="82"/>
      <c r="D10" s="82"/>
      <c r="F10" s="82"/>
      <c r="G10" s="83"/>
      <c r="H10" s="82"/>
      <c r="I10" s="82"/>
      <c r="K10" s="82"/>
      <c r="L10" s="83"/>
      <c r="M10" s="82"/>
      <c r="N10" s="82"/>
      <c r="P10" s="82"/>
      <c r="Q10" s="83"/>
      <c r="R10" s="82"/>
      <c r="S10" s="82"/>
      <c r="U10" s="82"/>
      <c r="V10" s="83"/>
      <c r="W10" s="82"/>
      <c r="X10" s="82"/>
      <c r="Z10" s="82"/>
      <c r="AA10" s="83"/>
      <c r="AB10" s="82"/>
      <c r="AC10" s="82"/>
      <c r="AE10" s="82"/>
      <c r="AF10" s="83"/>
      <c r="AG10" s="82"/>
      <c r="AH10" s="82"/>
      <c r="AJ10" s="82"/>
      <c r="AK10" s="83"/>
      <c r="AL10" s="82"/>
      <c r="AM10" s="82"/>
    </row>
    <row r="11" spans="1:39" x14ac:dyDescent="0.25">
      <c r="A11" s="82"/>
      <c r="B11" s="83"/>
      <c r="C11" s="82"/>
      <c r="D11" s="82"/>
      <c r="F11" s="82"/>
      <c r="G11" s="83"/>
      <c r="H11" s="82"/>
      <c r="I11" s="82"/>
      <c r="K11" s="82"/>
      <c r="L11" s="83"/>
      <c r="M11" s="82"/>
      <c r="N11" s="82"/>
      <c r="P11" s="82"/>
      <c r="Q11" s="83"/>
      <c r="R11" s="82"/>
      <c r="S11" s="82"/>
      <c r="U11" s="82"/>
      <c r="V11" s="83"/>
      <c r="W11" s="82"/>
      <c r="X11" s="82"/>
      <c r="Z11" s="82"/>
      <c r="AA11" s="83"/>
      <c r="AB11" s="82"/>
      <c r="AC11" s="82"/>
      <c r="AE11" s="82"/>
      <c r="AF11" s="83"/>
      <c r="AG11" s="82"/>
      <c r="AH11" s="82"/>
      <c r="AJ11" s="82"/>
      <c r="AK11" s="83"/>
      <c r="AL11" s="82"/>
      <c r="AM11" s="82"/>
    </row>
    <row r="12" spans="1:39" x14ac:dyDescent="0.25">
      <c r="A12" s="82"/>
      <c r="B12" s="83"/>
      <c r="C12" s="82"/>
      <c r="D12" s="82"/>
      <c r="F12" s="82"/>
      <c r="G12" s="83"/>
      <c r="H12" s="82"/>
      <c r="I12" s="82"/>
      <c r="K12" s="82"/>
      <c r="L12" s="83"/>
      <c r="M12" s="82"/>
      <c r="N12" s="82"/>
      <c r="P12" s="82"/>
      <c r="Q12" s="83"/>
      <c r="R12" s="82"/>
      <c r="S12" s="82"/>
      <c r="U12" s="82"/>
      <c r="V12" s="83"/>
      <c r="W12" s="82"/>
      <c r="X12" s="82"/>
      <c r="Z12" s="82"/>
      <c r="AA12" s="83"/>
      <c r="AB12" s="82"/>
      <c r="AC12" s="82"/>
      <c r="AE12" s="82"/>
      <c r="AF12" s="83"/>
      <c r="AG12" s="82"/>
      <c r="AH12" s="82"/>
      <c r="AJ12" s="82"/>
      <c r="AK12" s="83"/>
      <c r="AL12" s="82"/>
      <c r="AM12" s="82"/>
    </row>
    <row r="13" spans="1:39" x14ac:dyDescent="0.25">
      <c r="A13" s="82"/>
      <c r="B13" s="83"/>
      <c r="C13" s="82"/>
      <c r="D13" s="82"/>
      <c r="F13" s="82"/>
      <c r="G13" s="83"/>
      <c r="H13" s="82"/>
      <c r="I13" s="82"/>
      <c r="K13" s="82"/>
      <c r="L13" s="83"/>
      <c r="M13" s="82"/>
      <c r="N13" s="82"/>
      <c r="P13" s="82"/>
      <c r="Q13" s="83"/>
      <c r="R13" s="82"/>
      <c r="S13" s="82"/>
      <c r="U13" s="82"/>
      <c r="V13" s="83"/>
      <c r="W13" s="82"/>
      <c r="X13" s="82"/>
      <c r="Z13" s="82"/>
      <c r="AA13" s="83"/>
      <c r="AB13" s="82"/>
      <c r="AC13" s="82"/>
      <c r="AE13" s="82"/>
      <c r="AF13" s="83"/>
      <c r="AG13" s="82"/>
      <c r="AH13" s="82"/>
      <c r="AJ13" s="82"/>
      <c r="AK13" s="83"/>
      <c r="AL13" s="82"/>
      <c r="AM13" s="82"/>
    </row>
    <row r="14" spans="1:39" x14ac:dyDescent="0.25">
      <c r="A14" s="82"/>
      <c r="B14" s="83"/>
      <c r="C14" s="82"/>
      <c r="D14" s="82"/>
      <c r="F14" s="82"/>
      <c r="G14" s="83"/>
      <c r="H14" s="82"/>
      <c r="I14" s="82"/>
      <c r="K14" s="82"/>
      <c r="L14" s="83"/>
      <c r="M14" s="82"/>
      <c r="N14" s="82"/>
      <c r="P14" s="82"/>
      <c r="Q14" s="83"/>
      <c r="R14" s="82"/>
      <c r="S14" s="82"/>
      <c r="U14" s="82"/>
      <c r="V14" s="83"/>
      <c r="W14" s="82"/>
      <c r="X14" s="82"/>
      <c r="Z14" s="82"/>
      <c r="AA14" s="83"/>
      <c r="AB14" s="82"/>
      <c r="AC14" s="82"/>
      <c r="AE14" s="82"/>
      <c r="AF14" s="83"/>
      <c r="AG14" s="82"/>
      <c r="AH14" s="82"/>
      <c r="AJ14" s="82"/>
      <c r="AK14" s="83"/>
      <c r="AL14" s="82"/>
      <c r="AM14" s="82"/>
    </row>
    <row r="15" spans="1:39" x14ac:dyDescent="0.25">
      <c r="A15" s="82"/>
      <c r="B15" s="83"/>
      <c r="C15" s="82"/>
      <c r="D15" s="82"/>
      <c r="F15" s="82"/>
      <c r="G15" s="83"/>
      <c r="H15" s="82"/>
      <c r="I15" s="82"/>
      <c r="K15" s="82"/>
      <c r="L15" s="83"/>
      <c r="M15" s="82"/>
      <c r="N15" s="82"/>
      <c r="P15" s="82"/>
      <c r="Q15" s="83"/>
      <c r="R15" s="82"/>
      <c r="S15" s="82"/>
      <c r="U15" s="82"/>
      <c r="V15" s="83"/>
      <c r="W15" s="82"/>
      <c r="X15" s="82"/>
      <c r="Z15" s="82"/>
      <c r="AA15" s="83"/>
      <c r="AB15" s="82"/>
      <c r="AC15" s="82"/>
      <c r="AE15" s="82"/>
      <c r="AF15" s="83"/>
      <c r="AG15" s="82"/>
      <c r="AH15" s="82"/>
      <c r="AJ15" s="82"/>
      <c r="AK15" s="83"/>
      <c r="AL15" s="82"/>
      <c r="AM15" s="82"/>
    </row>
    <row r="16" spans="1:39" x14ac:dyDescent="0.25">
      <c r="A16" s="82"/>
      <c r="B16" s="83"/>
      <c r="C16" s="82"/>
      <c r="D16" s="82"/>
      <c r="F16" s="82"/>
      <c r="G16" s="83"/>
      <c r="H16" s="82"/>
      <c r="I16" s="82"/>
      <c r="K16" s="82"/>
      <c r="L16" s="83"/>
      <c r="M16" s="82"/>
      <c r="N16" s="82"/>
      <c r="P16" s="82"/>
      <c r="Q16" s="83"/>
      <c r="R16" s="82"/>
      <c r="S16" s="82"/>
      <c r="U16" s="82"/>
      <c r="V16" s="83"/>
      <c r="W16" s="82"/>
      <c r="X16" s="82"/>
      <c r="Z16" s="82"/>
      <c r="AA16" s="83"/>
      <c r="AB16" s="82"/>
      <c r="AC16" s="82"/>
      <c r="AE16" s="82"/>
      <c r="AF16" s="83"/>
      <c r="AG16" s="82"/>
      <c r="AH16" s="82"/>
      <c r="AJ16" s="82"/>
      <c r="AK16" s="83"/>
      <c r="AL16" s="82"/>
      <c r="AM16" s="82"/>
    </row>
    <row r="17" spans="1:39" x14ac:dyDescent="0.25">
      <c r="A17" s="82"/>
      <c r="B17" s="83"/>
      <c r="C17" s="82"/>
      <c r="D17" s="82"/>
      <c r="F17" s="82"/>
      <c r="G17" s="83"/>
      <c r="H17" s="82"/>
      <c r="I17" s="82"/>
      <c r="K17" s="82"/>
      <c r="L17" s="83"/>
      <c r="M17" s="82"/>
      <c r="N17" s="82"/>
      <c r="P17" s="82"/>
      <c r="Q17" s="83"/>
      <c r="R17" s="82"/>
      <c r="S17" s="82"/>
      <c r="U17" s="82"/>
      <c r="V17" s="83"/>
      <c r="W17" s="82"/>
      <c r="X17" s="82"/>
      <c r="Z17" s="82"/>
      <c r="AA17" s="83"/>
      <c r="AB17" s="82"/>
      <c r="AC17" s="82"/>
      <c r="AE17" s="82"/>
      <c r="AF17" s="83"/>
      <c r="AG17" s="82"/>
      <c r="AH17" s="82"/>
      <c r="AJ17" s="82"/>
      <c r="AK17" s="83"/>
      <c r="AL17" s="82"/>
      <c r="AM17" s="82"/>
    </row>
    <row r="18" spans="1:39" x14ac:dyDescent="0.25">
      <c r="A18" s="82"/>
      <c r="B18" s="83"/>
      <c r="C18" s="82"/>
      <c r="D18" s="82"/>
      <c r="F18" s="82"/>
      <c r="G18" s="83"/>
      <c r="H18" s="82"/>
      <c r="I18" s="82"/>
      <c r="K18" s="82"/>
      <c r="L18" s="83"/>
      <c r="M18" s="82"/>
      <c r="N18" s="82"/>
      <c r="P18" s="82"/>
      <c r="Q18" s="83"/>
      <c r="R18" s="82"/>
      <c r="S18" s="82"/>
      <c r="U18" s="82"/>
      <c r="V18" s="83"/>
      <c r="W18" s="82"/>
      <c r="X18" s="82"/>
      <c r="Z18" s="82"/>
      <c r="AA18" s="83"/>
      <c r="AB18" s="82"/>
      <c r="AC18" s="82"/>
      <c r="AE18" s="82"/>
      <c r="AF18" s="83"/>
      <c r="AG18" s="82"/>
      <c r="AH18" s="82"/>
      <c r="AJ18" s="82"/>
      <c r="AK18" s="83"/>
      <c r="AL18" s="82"/>
      <c r="AM18" s="82"/>
    </row>
    <row r="19" spans="1:39" x14ac:dyDescent="0.25">
      <c r="A19" s="82"/>
      <c r="B19" s="83"/>
      <c r="C19" s="82"/>
      <c r="D19" s="82"/>
      <c r="F19" s="82"/>
      <c r="G19" s="83"/>
      <c r="H19" s="82"/>
      <c r="I19" s="82"/>
      <c r="K19" s="82"/>
      <c r="L19" s="83"/>
      <c r="M19" s="82"/>
      <c r="N19" s="82"/>
      <c r="P19" s="82"/>
      <c r="Q19" s="83"/>
      <c r="R19" s="82"/>
      <c r="S19" s="82"/>
      <c r="U19" s="82"/>
      <c r="V19" s="83"/>
      <c r="W19" s="82"/>
      <c r="X19" s="82"/>
      <c r="Z19" s="82"/>
      <c r="AA19" s="83"/>
      <c r="AB19" s="82"/>
      <c r="AC19" s="82"/>
      <c r="AE19" s="82"/>
      <c r="AF19" s="83"/>
      <c r="AG19" s="82"/>
      <c r="AH19" s="82"/>
      <c r="AJ19" s="82"/>
      <c r="AK19" s="83"/>
      <c r="AL19" s="82"/>
      <c r="AM19" s="82"/>
    </row>
    <row r="20" spans="1:39" x14ac:dyDescent="0.25">
      <c r="A20" s="82"/>
      <c r="B20" s="83"/>
      <c r="C20" s="82"/>
      <c r="D20" s="82"/>
      <c r="F20" s="82"/>
      <c r="G20" s="83"/>
      <c r="H20" s="82"/>
      <c r="I20" s="82"/>
      <c r="K20" s="82"/>
      <c r="L20" s="83"/>
      <c r="M20" s="82"/>
      <c r="N20" s="82"/>
      <c r="P20" s="82"/>
      <c r="Q20" s="83"/>
      <c r="R20" s="82"/>
      <c r="S20" s="82"/>
      <c r="U20" s="82"/>
      <c r="V20" s="83"/>
      <c r="W20" s="82"/>
      <c r="X20" s="82"/>
      <c r="Z20" s="82"/>
      <c r="AA20" s="83"/>
      <c r="AB20" s="82"/>
      <c r="AC20" s="82"/>
      <c r="AE20" s="82"/>
      <c r="AF20" s="83"/>
      <c r="AG20" s="82"/>
      <c r="AH20" s="82"/>
      <c r="AJ20" s="82"/>
      <c r="AK20" s="83"/>
      <c r="AL20" s="82"/>
      <c r="AM20" s="82"/>
    </row>
    <row r="21" spans="1:39" x14ac:dyDescent="0.25">
      <c r="A21" s="82"/>
      <c r="B21" s="83"/>
      <c r="C21" s="82"/>
      <c r="D21" s="82"/>
      <c r="F21" s="82"/>
      <c r="G21" s="83"/>
      <c r="H21" s="82"/>
      <c r="I21" s="82"/>
      <c r="K21" s="82"/>
      <c r="L21" s="83"/>
      <c r="M21" s="82"/>
      <c r="N21" s="82"/>
      <c r="P21" s="82"/>
      <c r="Q21" s="83"/>
      <c r="R21" s="82"/>
      <c r="S21" s="82"/>
      <c r="U21" s="82"/>
      <c r="V21" s="83"/>
      <c r="W21" s="82"/>
      <c r="X21" s="82"/>
      <c r="Z21" s="82"/>
      <c r="AA21" s="83"/>
      <c r="AB21" s="82"/>
      <c r="AC21" s="82"/>
      <c r="AE21" s="82"/>
      <c r="AF21" s="83"/>
      <c r="AG21" s="82"/>
      <c r="AH21" s="82"/>
      <c r="AJ21" s="82"/>
      <c r="AK21" s="83"/>
      <c r="AL21" s="82"/>
      <c r="AM21" s="82"/>
    </row>
    <row r="22" spans="1:39" x14ac:dyDescent="0.25">
      <c r="A22" s="82"/>
      <c r="B22" s="83"/>
      <c r="C22" s="82"/>
      <c r="D22" s="82"/>
      <c r="F22" s="82"/>
      <c r="G22" s="83"/>
      <c r="H22" s="82"/>
      <c r="I22" s="82"/>
      <c r="K22" s="82"/>
      <c r="L22" s="83"/>
      <c r="M22" s="82"/>
      <c r="N22" s="82"/>
      <c r="P22" s="82"/>
      <c r="Q22" s="83"/>
      <c r="R22" s="82"/>
      <c r="S22" s="82"/>
      <c r="U22" s="82"/>
      <c r="V22" s="83"/>
      <c r="W22" s="82"/>
      <c r="X22" s="82"/>
      <c r="Z22" s="82"/>
      <c r="AA22" s="83"/>
      <c r="AB22" s="82"/>
      <c r="AC22" s="82"/>
      <c r="AE22" s="82"/>
      <c r="AF22" s="83"/>
      <c r="AG22" s="82"/>
      <c r="AH22" s="82"/>
      <c r="AJ22" s="82"/>
      <c r="AK22" s="83"/>
      <c r="AL22" s="82"/>
      <c r="AM22" s="82"/>
    </row>
    <row r="23" spans="1:39" x14ac:dyDescent="0.25">
      <c r="A23" s="82"/>
      <c r="B23" s="83"/>
      <c r="C23" s="82"/>
      <c r="D23" s="82"/>
      <c r="F23" s="82"/>
      <c r="G23" s="83"/>
      <c r="H23" s="82"/>
      <c r="I23" s="82"/>
      <c r="K23" s="82"/>
      <c r="L23" s="83"/>
      <c r="M23" s="82"/>
      <c r="N23" s="82"/>
      <c r="P23" s="82"/>
      <c r="Q23" s="83"/>
      <c r="R23" s="82"/>
      <c r="S23" s="82"/>
      <c r="U23" s="82"/>
      <c r="V23" s="83"/>
      <c r="W23" s="82"/>
      <c r="X23" s="82"/>
      <c r="Z23" s="82"/>
      <c r="AA23" s="83"/>
      <c r="AB23" s="82"/>
      <c r="AC23" s="82"/>
      <c r="AE23" s="82"/>
      <c r="AF23" s="83"/>
      <c r="AG23" s="82"/>
      <c r="AH23" s="82"/>
      <c r="AJ23" s="82"/>
      <c r="AK23" s="83"/>
      <c r="AL23" s="82"/>
      <c r="AM23" s="82"/>
    </row>
    <row r="24" spans="1:39" x14ac:dyDescent="0.25">
      <c r="A24" s="82"/>
      <c r="B24" s="83"/>
      <c r="C24" s="82"/>
      <c r="D24" s="82"/>
      <c r="F24" s="82"/>
      <c r="G24" s="83"/>
      <c r="H24" s="82"/>
      <c r="I24" s="82"/>
      <c r="K24" s="82"/>
      <c r="L24" s="83"/>
      <c r="M24" s="82"/>
      <c r="N24" s="82"/>
      <c r="P24" s="82"/>
      <c r="Q24" s="83"/>
      <c r="R24" s="82"/>
      <c r="S24" s="82"/>
      <c r="U24" s="82"/>
      <c r="V24" s="83"/>
      <c r="W24" s="82"/>
      <c r="X24" s="82"/>
      <c r="Z24" s="82"/>
      <c r="AA24" s="83"/>
      <c r="AB24" s="82"/>
      <c r="AC24" s="82"/>
      <c r="AE24" s="82"/>
      <c r="AF24" s="83"/>
      <c r="AG24" s="82"/>
      <c r="AH24" s="82"/>
      <c r="AJ24" s="82"/>
      <c r="AK24" s="83"/>
      <c r="AL24" s="82"/>
      <c r="AM24" s="82"/>
    </row>
    <row r="26" spans="1:39" x14ac:dyDescent="0.25">
      <c r="A26" s="76" t="s">
        <v>84</v>
      </c>
      <c r="B26" s="82">
        <f>COUNTIF(A3:A24,"POT")+B28</f>
        <v>0</v>
      </c>
      <c r="F26" s="76" t="s">
        <v>84</v>
      </c>
      <c r="G26" s="82">
        <f>COUNTIF(F3:F24,"POT")+G28</f>
        <v>0</v>
      </c>
      <c r="K26" s="76" t="s">
        <v>84</v>
      </c>
      <c r="L26" s="82">
        <f>COUNTIF(K3:K24,"POT")+L28</f>
        <v>0</v>
      </c>
      <c r="P26" s="76" t="s">
        <v>84</v>
      </c>
      <c r="Q26" s="82">
        <f>COUNTIF(P3:P24,"POT")+Q28</f>
        <v>0</v>
      </c>
      <c r="U26" s="76" t="s">
        <v>84</v>
      </c>
      <c r="V26" s="82">
        <f>COUNTIF(U3:U24,"POT")+V28</f>
        <v>0</v>
      </c>
      <c r="Z26" s="76" t="s">
        <v>84</v>
      </c>
      <c r="AA26" s="82">
        <f>COUNTIF(Z3:Z24,"POT")+AA28</f>
        <v>0</v>
      </c>
      <c r="AE26" s="76" t="s">
        <v>84</v>
      </c>
      <c r="AF26" s="82">
        <f>COUNTIF(AE3:AE24,"POT")+AF28</f>
        <v>0</v>
      </c>
      <c r="AJ26" s="76" t="s">
        <v>84</v>
      </c>
      <c r="AK26" s="82">
        <f>COUNTIF(AJ3:AJ24,"POT")+AK28</f>
        <v>0</v>
      </c>
    </row>
    <row r="27" spans="1:39" x14ac:dyDescent="0.25">
      <c r="A27" s="76" t="s">
        <v>85</v>
      </c>
      <c r="B27" s="82">
        <f>COUNTIF(A3:A24,"GEV")+B28</f>
        <v>0</v>
      </c>
      <c r="F27" s="76" t="s">
        <v>85</v>
      </c>
      <c r="G27" s="82">
        <f>COUNTIF(F3:F24,"GEV")+G28</f>
        <v>0</v>
      </c>
      <c r="K27" s="76" t="s">
        <v>85</v>
      </c>
      <c r="L27" s="82">
        <f>COUNTIF(K3:K24,"GEV")+L28</f>
        <v>0</v>
      </c>
      <c r="P27" s="76" t="s">
        <v>85</v>
      </c>
      <c r="Q27" s="82">
        <f>COUNTIF(P3:P24,"GEV")+Q28</f>
        <v>0</v>
      </c>
      <c r="U27" s="76" t="s">
        <v>85</v>
      </c>
      <c r="V27" s="82">
        <f>COUNTIF(U3:U24,"GEV")+V28</f>
        <v>0</v>
      </c>
      <c r="Z27" s="76" t="s">
        <v>85</v>
      </c>
      <c r="AA27" s="82">
        <f>COUNTIF(Z3:Z24,"GEV")+AA28</f>
        <v>0</v>
      </c>
      <c r="AE27" s="76" t="s">
        <v>85</v>
      </c>
      <c r="AF27" s="82">
        <f>COUNTIF(AE3:AE24,"GEV")+AF28</f>
        <v>0</v>
      </c>
      <c r="AJ27" s="76" t="s">
        <v>85</v>
      </c>
      <c r="AK27" s="82">
        <f>COUNTIF(AJ3:AJ24,"GEV")+AK28</f>
        <v>0</v>
      </c>
    </row>
    <row r="28" spans="1:39" x14ac:dyDescent="0.25">
      <c r="A28" s="76" t="s">
        <v>86</v>
      </c>
      <c r="B28" s="82">
        <f>COUNTIF(A3:A24,"POT + GEV")</f>
        <v>0</v>
      </c>
      <c r="F28" s="76" t="s">
        <v>86</v>
      </c>
      <c r="G28" s="82">
        <f>COUNTIF(F3:F24,"POT + GEV")</f>
        <v>0</v>
      </c>
      <c r="K28" s="76" t="s">
        <v>86</v>
      </c>
      <c r="L28" s="82">
        <f>COUNTIF(K3:K24,"POT + GEV")</f>
        <v>0</v>
      </c>
      <c r="P28" s="76" t="s">
        <v>86</v>
      </c>
      <c r="Q28" s="82">
        <f>COUNTIF(P3:P24,"POT + GEV")</f>
        <v>0</v>
      </c>
      <c r="U28" s="76" t="s">
        <v>86</v>
      </c>
      <c r="V28" s="82">
        <f>COUNTIF(U3:U24,"POT + GEV")</f>
        <v>0</v>
      </c>
      <c r="Z28" s="76" t="s">
        <v>86</v>
      </c>
      <c r="AA28" s="82">
        <f>COUNTIF(Z3:Z24,"POT + GEV")</f>
        <v>0</v>
      </c>
      <c r="AE28" s="76" t="s">
        <v>86</v>
      </c>
      <c r="AF28" s="82">
        <f>COUNTIF(AE3:AE24,"POT + GEV")</f>
        <v>0</v>
      </c>
      <c r="AJ28" s="76" t="s">
        <v>86</v>
      </c>
      <c r="AK28" s="82">
        <f>COUNTIF(AJ3:AJ24,"POT + GEV")</f>
        <v>0</v>
      </c>
    </row>
    <row r="30" spans="1:39" x14ac:dyDescent="0.25">
      <c r="A30" s="82"/>
      <c r="B30" s="84" t="s">
        <v>87</v>
      </c>
      <c r="C30" s="84" t="s">
        <v>88</v>
      </c>
      <c r="F30" s="82"/>
      <c r="G30" s="84" t="s">
        <v>87</v>
      </c>
      <c r="H30" s="84" t="s">
        <v>88</v>
      </c>
      <c r="K30" s="82"/>
      <c r="L30" s="84" t="s">
        <v>87</v>
      </c>
      <c r="M30" s="84" t="s">
        <v>88</v>
      </c>
      <c r="P30" s="82"/>
      <c r="Q30" s="84" t="s">
        <v>87</v>
      </c>
      <c r="R30" s="84" t="s">
        <v>88</v>
      </c>
      <c r="U30" s="82"/>
      <c r="V30" s="84" t="s">
        <v>87</v>
      </c>
      <c r="W30" s="84" t="s">
        <v>88</v>
      </c>
      <c r="Z30" s="82"/>
      <c r="AA30" s="84" t="s">
        <v>87</v>
      </c>
      <c r="AB30" s="84" t="s">
        <v>88</v>
      </c>
      <c r="AE30" s="82"/>
      <c r="AF30" s="84" t="s">
        <v>87</v>
      </c>
      <c r="AG30" s="84" t="s">
        <v>88</v>
      </c>
      <c r="AJ30" s="82"/>
      <c r="AK30" s="84" t="s">
        <v>87</v>
      </c>
      <c r="AL30" s="84" t="s">
        <v>88</v>
      </c>
    </row>
    <row r="31" spans="1:39" x14ac:dyDescent="0.25">
      <c r="A31" s="76" t="s">
        <v>89</v>
      </c>
      <c r="B31" s="82">
        <f>MAX(_xlfn.MAXIFS(C3:C24,A3:A24,"POT"),_xlfn.MAXIFS(C3:C24,A3:A24,"POT + GEV"))</f>
        <v>0</v>
      </c>
      <c r="C31" s="82">
        <f>MAX(_xlfn.MAXIFS(C3:C24,A3:A24,"GEV"),_xlfn.MAXIFS(C3:C24,A3:A24,"POT + GEV"))</f>
        <v>0</v>
      </c>
      <c r="F31" s="76" t="s">
        <v>89</v>
      </c>
      <c r="G31" s="82">
        <f>MAX(_xlfn.MAXIFS(H3:H24,F3:F24,"POT"),_xlfn.MAXIFS(H3:H24,F3:F24,"POT + GEV"))</f>
        <v>0</v>
      </c>
      <c r="H31" s="82">
        <f>MAX(_xlfn.MAXIFS(H3:H24,F3:F24,"GEV"),_xlfn.MAXIFS(H3:H24,F3:F24,"POT + GEV"))</f>
        <v>0</v>
      </c>
      <c r="K31" s="76" t="s">
        <v>89</v>
      </c>
      <c r="L31" s="82">
        <f>MAX(_xlfn.MAXIFS(M3:M24,K3:K24,"POT"),_xlfn.MAXIFS(M3:M24,K3:K24,"POT + GEV"))</f>
        <v>0</v>
      </c>
      <c r="M31" s="82">
        <f>MAX(_xlfn.MAXIFS(M3:M24,K3:K24,"GEV"),_xlfn.MAXIFS(M3:M24,K3:K24,"POT + GEV"))</f>
        <v>0</v>
      </c>
      <c r="P31" s="76" t="s">
        <v>89</v>
      </c>
      <c r="Q31" s="82">
        <f>MAX(_xlfn.MAXIFS(R3:R24,P3:P24,"POT"),_xlfn.MAXIFS(R3:R24,P3:P24,"POT + GEV"))</f>
        <v>0</v>
      </c>
      <c r="R31" s="82">
        <f>MAX(_xlfn.MAXIFS(R3:R24,P3:P24,"GEV"),_xlfn.MAXIFS(R3:R24,P3:P24,"POT + GEV"))</f>
        <v>0</v>
      </c>
      <c r="U31" s="76" t="s">
        <v>89</v>
      </c>
      <c r="V31" s="82">
        <f>MAX(_xlfn.MAXIFS(W3:W24,U3:U24,"POT"),_xlfn.MAXIFS(W3:W24,U3:U24,"POT + GEV"))</f>
        <v>0</v>
      </c>
      <c r="W31" s="82">
        <f>MAX(_xlfn.MAXIFS(W3:W24,U3:U24,"GEV"),_xlfn.MAXIFS(W3:W24,U3:U24,"POT + GEV"))</f>
        <v>0</v>
      </c>
      <c r="Z31" s="76" t="s">
        <v>89</v>
      </c>
      <c r="AA31" s="82">
        <f>MAX(_xlfn.MAXIFS(AB3:AB24,Z3:Z24,"POT"),_xlfn.MAXIFS(AB3:AB24,Z3:Z24,"POT + GEV"))</f>
        <v>0</v>
      </c>
      <c r="AB31" s="82">
        <f>MAX(_xlfn.MAXIFS(AB3:AB24,Z3:Z24,"GEV"),_xlfn.MAXIFS(AB3:AB24,Z3:Z24,"POT + GEV"))</f>
        <v>0</v>
      </c>
      <c r="AE31" s="76" t="s">
        <v>89</v>
      </c>
      <c r="AF31" s="82">
        <f>MAX(_xlfn.MAXIFS(AG3:AG24,AE3:AE24,"POT"),_xlfn.MAXIFS(AG3:AG24,AE3:AE24,"POT + GEV"))</f>
        <v>0</v>
      </c>
      <c r="AG31" s="82">
        <f>MAX(_xlfn.MAXIFS(AG3:AG24,AE3:AE24,"GEV"),_xlfn.MAXIFS(AG3:AG24,AE3:AE24,"POT + GEV"))</f>
        <v>0</v>
      </c>
      <c r="AJ31" s="76" t="s">
        <v>89</v>
      </c>
      <c r="AK31" s="82">
        <f>MAX(_xlfn.MAXIFS(AL3:AL24,AJ3:AJ24,"POT"),_xlfn.MAXIFS(AL3:AL24,AJ3:AJ24,"POT + GEV"))</f>
        <v>0</v>
      </c>
      <c r="AL31" s="82">
        <f>MAX(_xlfn.MAXIFS(AL3:AL24,AJ3:AJ24,"GEV"),_xlfn.MAXIFS(AL3:AL24,AJ3:AJ24,"POT + GEV"))</f>
        <v>0</v>
      </c>
    </row>
    <row r="32" spans="1:39" x14ac:dyDescent="0.25">
      <c r="A32" s="76" t="s">
        <v>90</v>
      </c>
      <c r="B32" s="82">
        <f>MIN(C3:C24)</f>
        <v>0</v>
      </c>
      <c r="C32" s="82">
        <f>MIN(_xlfn.MINIFS(C3:C24,A3:A24,"GEV"),_xlfn.MINIFS(C3:C24,A3:A24,"POT + GEV"))</f>
        <v>0</v>
      </c>
      <c r="F32" s="76" t="s">
        <v>90</v>
      </c>
      <c r="G32" s="82">
        <f>MIN(H3:H24)</f>
        <v>0</v>
      </c>
      <c r="H32" s="82">
        <f>MIN(_xlfn.MINIFS(H3:H24,F3:F24,"GEV"),_xlfn.MINIFS(H3:H24,F3:F24,"POT + GEV"))</f>
        <v>0</v>
      </c>
      <c r="K32" s="76" t="s">
        <v>90</v>
      </c>
      <c r="L32" s="82">
        <f>MIN(M3:M24)</f>
        <v>0</v>
      </c>
      <c r="M32" s="82">
        <f>MIN(_xlfn.MINIFS(M3:M24,K3:K24,"GEV"),_xlfn.MINIFS(M3:M24,K3:K24,"POT + GEV"))</f>
        <v>0</v>
      </c>
      <c r="P32" s="76" t="s">
        <v>90</v>
      </c>
      <c r="Q32" s="82">
        <f>MIN(R3:R24)</f>
        <v>0</v>
      </c>
      <c r="R32" s="82">
        <f>MIN(_xlfn.MINIFS(R3:R24,P3:P24,"GEV"),_xlfn.MINIFS(R3:R24,P3:P24,"POT + GEV"))</f>
        <v>0</v>
      </c>
      <c r="U32" s="76" t="s">
        <v>90</v>
      </c>
      <c r="V32" s="82">
        <f>MIN(W3:W24)</f>
        <v>0</v>
      </c>
      <c r="W32" s="82">
        <f>MIN(_xlfn.MINIFS(W3:W24,U3:U24,"GEV"),_xlfn.MINIFS(W3:W24,U3:U24,"POT + GEV"))</f>
        <v>0</v>
      </c>
      <c r="Z32" s="76" t="s">
        <v>90</v>
      </c>
      <c r="AA32" s="82">
        <f>MIN(AB3:AB24)</f>
        <v>0</v>
      </c>
      <c r="AB32" s="82">
        <f>MIN(_xlfn.MINIFS(AB3:AB24,Z3:Z24,"GEV"),_xlfn.MINIFS(AB3:AB24,Z3:Z24,"POT + GEV"))</f>
        <v>0</v>
      </c>
      <c r="AE32" s="76" t="s">
        <v>90</v>
      </c>
      <c r="AF32" s="82">
        <f>MIN(AG3:AG24)</f>
        <v>0</v>
      </c>
      <c r="AG32" s="82">
        <f>MIN(_xlfn.MINIFS(AG3:AG24,AE3:AE24,"GEV"),_xlfn.MINIFS(AG3:AG24,AE3:AE24,"POT + GEV"))</f>
        <v>0</v>
      </c>
      <c r="AJ32" s="76" t="s">
        <v>90</v>
      </c>
      <c r="AK32" s="82">
        <f>MIN(AL3:AL24)</f>
        <v>0</v>
      </c>
      <c r="AL32" s="82">
        <f>MIN(_xlfn.MINIFS(AL3:AL24,AJ3:AJ24,"GEV"),_xlfn.MINIFS(AL3:AL24,AJ3:AJ24,"POT + GEV"))</f>
        <v>0</v>
      </c>
    </row>
    <row r="33" spans="1:38" x14ac:dyDescent="0.25">
      <c r="A33" s="76" t="s">
        <v>91</v>
      </c>
      <c r="B33" s="78" t="e">
        <f>(SUMIF(A3:A24,"POT",C3:C24)+SUMIF(A3:A24,"POT + GEV",C3:C24))/(COUNTIF(A3:A24,"POT")+COUNTIF(A3:A24,"POT + GEV"))</f>
        <v>#DIV/0!</v>
      </c>
      <c r="C33" s="78" t="e">
        <f>(SUMIF(A3:A24,"GEV",C3:C24)+SUMIF(A3:A24,"POT + GEV",C3:C24))/(COUNTIF(A3:A24,"GEV")+COUNTIF(A3:A24,"POT + GEV"))</f>
        <v>#DIV/0!</v>
      </c>
      <c r="F33" s="76" t="s">
        <v>91</v>
      </c>
      <c r="G33" s="78" t="e">
        <f>(SUMIF(F3:F24,"POT",H3:H24)+SUMIF(F3:F24,"POT + GEV",H3:H24))/(COUNTIF(F3:F24,"POT")+COUNTIF(F3:F24,"POT + GEV"))</f>
        <v>#DIV/0!</v>
      </c>
      <c r="H33" s="78" t="e">
        <f>(SUMIF(F3:F24,"GEV",H3:H24)+SUMIF(F3:F24,"POT + GEV",H3:H24))/(COUNTIF(F3:F24,"GEV")+COUNTIF(F3:F24,"POT + GEV"))</f>
        <v>#DIV/0!</v>
      </c>
      <c r="K33" s="76" t="s">
        <v>91</v>
      </c>
      <c r="L33" s="78" t="e">
        <f>(SUMIF(K3:K24,"POT",M3:M24)+SUMIF(K3:K24,"POT + GEV",M3:M24))/(COUNTIF(K3:K24,"POT")+COUNTIF(K3:K24,"POT + GEV"))</f>
        <v>#DIV/0!</v>
      </c>
      <c r="M33" s="78" t="e">
        <f>(SUMIF(K3:K24,"GEV",M3:M24)+SUMIF(K3:K24,"POT + GEV",M3:M24))/(COUNTIF(K3:K24,"GEV")+COUNTIF(K3:K24,"POT + GEV"))</f>
        <v>#DIV/0!</v>
      </c>
      <c r="P33" s="76" t="s">
        <v>91</v>
      </c>
      <c r="Q33" s="78" t="e">
        <f>(SUMIF(P3:P24,"POT",R3:R24)+SUMIF(P3:P24,"POT + GEV",R3:R24))/(COUNTIF(P3:P24,"POT")+COUNTIF(P3:P24,"POT + GEV"))</f>
        <v>#DIV/0!</v>
      </c>
      <c r="R33" s="78" t="e">
        <f>(SUMIF(P3:P24,"GEV",R3:R24)+SUMIF(P3:P24,"POT + GEV",R3:R24))/(COUNTIF(P3:P24,"GEV")+COUNTIF(P3:P24,"POT + GEV"))</f>
        <v>#DIV/0!</v>
      </c>
      <c r="U33" s="76" t="s">
        <v>91</v>
      </c>
      <c r="V33" s="78" t="e">
        <f>(SUMIF(U3:U24,"POT",W3:W24)+SUMIF(U3:U24,"POT + GEV",W3:W24))/(COUNTIF(U3:U24,"POT")+COUNTIF(U3:U24,"POT + GEV"))</f>
        <v>#DIV/0!</v>
      </c>
      <c r="W33" s="78" t="e">
        <f>(SUMIF(U3:U24,"GEV",W3:W24)+SUMIF(U3:U24,"POT + GEV",W3:W24))/(COUNTIF(U3:U24,"GEV")+COUNTIF(U3:U24,"POT + GEV"))</f>
        <v>#DIV/0!</v>
      </c>
      <c r="Z33" s="76" t="s">
        <v>91</v>
      </c>
      <c r="AA33" s="78" t="e">
        <f>(SUMIF(Z3:Z24,"POT",AB3:AB24)+SUMIF(Z3:Z24,"POT + GEV",AB3:AB24))/(COUNTIF(Z3:Z24,"POT")+COUNTIF(Z3:Z24,"POT + GEV"))</f>
        <v>#DIV/0!</v>
      </c>
      <c r="AB33" s="78" t="e">
        <f>(SUMIF(Z3:Z24,"GEV",AB3:AB24)+SUMIF(Z3:Z24,"POT + GEV",AB3:AB24))/(COUNTIF(Z3:Z24,"GEV")+COUNTIF(Z3:Z24,"POT + GEV"))</f>
        <v>#DIV/0!</v>
      </c>
      <c r="AE33" s="76" t="s">
        <v>91</v>
      </c>
      <c r="AF33" s="78" t="e">
        <f>(SUMIF(AE3:AE24,"POT",AG3:AG24)+SUMIF(AE3:AE24,"POT + GEV",AG3:AG24))/(COUNTIF(AE3:AE24,"POT")+COUNTIF(AE3:AE24,"POT + GEV"))</f>
        <v>#DIV/0!</v>
      </c>
      <c r="AG33" s="78" t="e">
        <f>(SUMIF(AE3:AE24,"GEV",AG3:AG24)+SUMIF(AE3:AE24,"POT + GEV",AG3:AG24))/(COUNTIF(AE3:AE24,"GEV")+COUNTIF(AE3:AE24,"POT + GEV"))</f>
        <v>#DIV/0!</v>
      </c>
      <c r="AJ33" s="76" t="s">
        <v>91</v>
      </c>
      <c r="AK33" s="78" t="e">
        <f>(SUMIF(AJ3:AJ24,"POT",AL3:AL24)+SUMIF(AJ3:AJ24,"POT + GEV",AL3:AL24))/(COUNTIF(AJ3:AJ24,"POT")+COUNTIF(AJ3:AJ24,"POT + GEV"))</f>
        <v>#DIV/0!</v>
      </c>
      <c r="AL33" s="78" t="e">
        <f>(SUMIF(AJ3:AJ24,"GEV",AL3:AL24)+SUMIF(AJ3:AJ24,"POT + GEV",AL3:AL24))/(COUNTIF(AJ3:AJ24,"GEV")+COUNTIF(AJ3:AJ24,"POT + GEV"))</f>
        <v>#DIV/0!</v>
      </c>
    </row>
    <row r="37" spans="1:38" x14ac:dyDescent="0.25">
      <c r="A37" s="82"/>
      <c r="B37" s="84" t="s">
        <v>73</v>
      </c>
      <c r="C37" s="84" t="s">
        <v>74</v>
      </c>
      <c r="D37" s="84" t="s">
        <v>75</v>
      </c>
      <c r="E37" s="84" t="s">
        <v>76</v>
      </c>
      <c r="F37" s="84" t="s">
        <v>77</v>
      </c>
      <c r="G37" s="84" t="s">
        <v>78</v>
      </c>
      <c r="H37" s="84" t="s">
        <v>79</v>
      </c>
      <c r="I37" s="84" t="s">
        <v>80</v>
      </c>
    </row>
    <row r="38" spans="1:38" x14ac:dyDescent="0.25">
      <c r="A38" s="76" t="s">
        <v>89</v>
      </c>
      <c r="B38" s="82">
        <f>B31</f>
        <v>0</v>
      </c>
      <c r="C38" s="82">
        <f>G31</f>
        <v>0</v>
      </c>
      <c r="D38" s="82">
        <f>L31</f>
        <v>0</v>
      </c>
      <c r="E38" s="85">
        <f>Q31</f>
        <v>0</v>
      </c>
      <c r="F38" s="82">
        <f>V31</f>
        <v>0</v>
      </c>
      <c r="G38" s="82">
        <f>AA31</f>
        <v>0</v>
      </c>
      <c r="H38" s="82">
        <f>AF31</f>
        <v>0</v>
      </c>
      <c r="I38" s="82">
        <f>AK31</f>
        <v>0</v>
      </c>
    </row>
    <row r="39" spans="1:38" x14ac:dyDescent="0.25">
      <c r="A39" s="76" t="s">
        <v>90</v>
      </c>
      <c r="B39" s="82">
        <f t="shared" ref="B39:B40" si="0">B32</f>
        <v>0</v>
      </c>
      <c r="C39" s="82">
        <f t="shared" ref="C39:C40" si="1">G32</f>
        <v>0</v>
      </c>
      <c r="D39" s="82">
        <f t="shared" ref="D39:D40" si="2">L32</f>
        <v>0</v>
      </c>
      <c r="E39" s="85">
        <f t="shared" ref="E39:E40" si="3">Q32</f>
        <v>0</v>
      </c>
      <c r="F39" s="82">
        <f t="shared" ref="F39:F40" si="4">V32</f>
        <v>0</v>
      </c>
      <c r="G39" s="82">
        <f t="shared" ref="G39:G40" si="5">AA32</f>
        <v>0</v>
      </c>
      <c r="H39" s="82">
        <f t="shared" ref="H39:H40" si="6">AF32</f>
        <v>0</v>
      </c>
      <c r="I39" s="82">
        <f t="shared" ref="I39:I40" si="7">AK32</f>
        <v>0</v>
      </c>
    </row>
    <row r="40" spans="1:38" x14ac:dyDescent="0.25">
      <c r="A40" s="76" t="s">
        <v>91</v>
      </c>
      <c r="B40" s="78" t="e">
        <f t="shared" si="0"/>
        <v>#DIV/0!</v>
      </c>
      <c r="C40" s="78" t="e">
        <f t="shared" si="1"/>
        <v>#DIV/0!</v>
      </c>
      <c r="D40" s="78" t="e">
        <f t="shared" si="2"/>
        <v>#DIV/0!</v>
      </c>
      <c r="E40" s="78" t="e">
        <f t="shared" si="3"/>
        <v>#DIV/0!</v>
      </c>
      <c r="F40" s="78" t="e">
        <f t="shared" si="4"/>
        <v>#DIV/0!</v>
      </c>
      <c r="G40" s="78" t="e">
        <f t="shared" si="5"/>
        <v>#DIV/0!</v>
      </c>
      <c r="H40" s="78" t="e">
        <f t="shared" si="6"/>
        <v>#DIV/0!</v>
      </c>
      <c r="I40" s="78" t="e">
        <f t="shared" si="7"/>
        <v>#DIV/0!</v>
      </c>
    </row>
  </sheetData>
  <mergeCells count="8">
    <mergeCell ref="AE1:AH1"/>
    <mergeCell ref="AJ1:AM1"/>
    <mergeCell ref="A1:D1"/>
    <mergeCell ref="F1:I1"/>
    <mergeCell ref="K1:N1"/>
    <mergeCell ref="P1:S1"/>
    <mergeCell ref="U1:X1"/>
    <mergeCell ref="Z1:A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A5A9-B6F6-4564-A2FB-318498596EB5}">
  <dimension ref="A1:AE41"/>
  <sheetViews>
    <sheetView topLeftCell="A7" workbookViewId="0">
      <selection activeCell="Z40" sqref="Z40:Z41"/>
    </sheetView>
  </sheetViews>
  <sheetFormatPr baseColWidth="10" defaultColWidth="11.42578125" defaultRowHeight="15" x14ac:dyDescent="0.25"/>
  <cols>
    <col min="1" max="1" width="8.42578125" bestFit="1" customWidth="1"/>
    <col min="2" max="2" width="9" bestFit="1" customWidth="1"/>
    <col min="3" max="18" width="8.7109375" customWidth="1"/>
    <col min="24" max="24" width="9" bestFit="1" customWidth="1"/>
    <col min="25" max="25" width="8.28515625" bestFit="1" customWidth="1"/>
    <col min="26" max="31" width="9.85546875" customWidth="1"/>
  </cols>
  <sheetData>
    <row r="1" spans="1:31" ht="15.75" customHeight="1" thickBot="1" x14ac:dyDescent="0.3">
      <c r="A1" s="284" t="s">
        <v>92</v>
      </c>
      <c r="B1" s="281" t="s">
        <v>93</v>
      </c>
      <c r="C1" s="286" t="s">
        <v>73</v>
      </c>
      <c r="D1" s="273"/>
      <c r="E1" s="286" t="s">
        <v>74</v>
      </c>
      <c r="F1" s="273"/>
      <c r="G1" s="286" t="s">
        <v>75</v>
      </c>
      <c r="H1" s="273"/>
      <c r="I1" s="286" t="s">
        <v>76</v>
      </c>
      <c r="J1" s="273"/>
      <c r="K1" s="286" t="s">
        <v>77</v>
      </c>
      <c r="L1" s="273"/>
      <c r="M1" s="286" t="s">
        <v>78</v>
      </c>
      <c r="N1" s="273"/>
      <c r="O1" s="286" t="s">
        <v>79</v>
      </c>
      <c r="P1" s="273"/>
      <c r="Q1" s="286" t="s">
        <v>80</v>
      </c>
      <c r="R1" s="273"/>
      <c r="T1" s="297" t="s">
        <v>50</v>
      </c>
      <c r="U1" s="297" t="s">
        <v>94</v>
      </c>
      <c r="V1" s="297"/>
    </row>
    <row r="2" spans="1:31" ht="30.75" thickBot="1" x14ac:dyDescent="0.3">
      <c r="A2" s="285"/>
      <c r="B2" s="283"/>
      <c r="C2" s="110" t="s">
        <v>95</v>
      </c>
      <c r="D2" s="111" t="s">
        <v>96</v>
      </c>
      <c r="E2" s="110" t="s">
        <v>95</v>
      </c>
      <c r="F2" s="111" t="s">
        <v>96</v>
      </c>
      <c r="G2" s="110" t="s">
        <v>95</v>
      </c>
      <c r="H2" s="111" t="s">
        <v>96</v>
      </c>
      <c r="I2" s="110" t="s">
        <v>95</v>
      </c>
      <c r="J2" s="111" t="s">
        <v>96</v>
      </c>
      <c r="K2" s="110" t="s">
        <v>95</v>
      </c>
      <c r="L2" s="111" t="s">
        <v>96</v>
      </c>
      <c r="M2" s="110" t="s">
        <v>95</v>
      </c>
      <c r="N2" s="111" t="s">
        <v>96</v>
      </c>
      <c r="O2" s="110" t="s">
        <v>95</v>
      </c>
      <c r="P2" s="111" t="s">
        <v>96</v>
      </c>
      <c r="Q2" s="110" t="s">
        <v>95</v>
      </c>
      <c r="R2" s="111" t="s">
        <v>96</v>
      </c>
      <c r="T2" s="297"/>
      <c r="U2" s="109" t="s">
        <v>95</v>
      </c>
      <c r="V2" s="109" t="s">
        <v>96</v>
      </c>
    </row>
    <row r="3" spans="1:31" ht="15.75" customHeight="1" thickBot="1" x14ac:dyDescent="0.3">
      <c r="A3" s="278">
        <v>2</v>
      </c>
      <c r="B3" s="86" t="s">
        <v>97</v>
      </c>
      <c r="C3" s="87"/>
      <c r="D3" s="88"/>
      <c r="E3" s="87"/>
      <c r="F3" s="88"/>
      <c r="G3" s="87"/>
      <c r="H3" s="88"/>
      <c r="I3" s="87"/>
      <c r="J3" s="88"/>
      <c r="K3" s="87"/>
      <c r="L3" s="88"/>
      <c r="M3" s="87"/>
      <c r="N3" s="88"/>
      <c r="O3" s="87"/>
      <c r="P3" s="88"/>
      <c r="Q3" s="87"/>
      <c r="R3" s="88"/>
      <c r="T3" s="112" t="s">
        <v>31</v>
      </c>
      <c r="U3" s="89">
        <f>C13</f>
        <v>0</v>
      </c>
      <c r="V3" s="89">
        <f>D13</f>
        <v>0</v>
      </c>
      <c r="X3" s="281" t="s">
        <v>50</v>
      </c>
      <c r="Y3" s="284" t="s">
        <v>98</v>
      </c>
      <c r="Z3" s="272" t="s">
        <v>99</v>
      </c>
      <c r="AA3" s="286"/>
      <c r="AB3" s="273"/>
      <c r="AC3" s="272" t="s">
        <v>100</v>
      </c>
      <c r="AD3" s="286"/>
      <c r="AE3" s="273"/>
    </row>
    <row r="4" spans="1:31" ht="17.25" customHeight="1" thickBot="1" x14ac:dyDescent="0.3">
      <c r="A4" s="279"/>
      <c r="B4" s="90" t="s">
        <v>101</v>
      </c>
      <c r="C4" s="91"/>
      <c r="D4" s="92"/>
      <c r="E4" s="91"/>
      <c r="F4" s="92"/>
      <c r="G4" s="91"/>
      <c r="H4" s="92"/>
      <c r="I4" s="91"/>
      <c r="J4" s="92"/>
      <c r="K4" s="91"/>
      <c r="L4" s="92"/>
      <c r="M4" s="91"/>
      <c r="N4" s="92"/>
      <c r="O4" s="91"/>
      <c r="P4" s="92"/>
      <c r="Q4" s="91"/>
      <c r="R4" s="92"/>
      <c r="T4" s="112" t="s">
        <v>32</v>
      </c>
      <c r="U4" s="78">
        <f>E13</f>
        <v>0</v>
      </c>
      <c r="V4" s="78">
        <f>F13</f>
        <v>0</v>
      </c>
      <c r="X4" s="283"/>
      <c r="Y4" s="285"/>
      <c r="Z4" s="113" t="s">
        <v>97</v>
      </c>
      <c r="AA4" s="114" t="s">
        <v>101</v>
      </c>
      <c r="AB4" s="115" t="s">
        <v>102</v>
      </c>
      <c r="AC4" s="113" t="s">
        <v>97</v>
      </c>
      <c r="AD4" s="114" t="s">
        <v>101</v>
      </c>
      <c r="AE4" s="115" t="s">
        <v>102</v>
      </c>
    </row>
    <row r="5" spans="1:31" ht="15.75" thickBot="1" x14ac:dyDescent="0.3">
      <c r="A5" s="280"/>
      <c r="B5" s="93" t="s">
        <v>102</v>
      </c>
      <c r="C5" s="94"/>
      <c r="D5" s="95"/>
      <c r="E5" s="94"/>
      <c r="F5" s="95"/>
      <c r="G5" s="94"/>
      <c r="H5" s="95"/>
      <c r="I5" s="94"/>
      <c r="J5" s="95"/>
      <c r="K5" s="94"/>
      <c r="L5" s="95"/>
      <c r="M5" s="94"/>
      <c r="N5" s="95"/>
      <c r="O5" s="94"/>
      <c r="P5" s="95"/>
      <c r="Q5" s="94"/>
      <c r="R5" s="95"/>
      <c r="T5" s="112" t="s">
        <v>33</v>
      </c>
      <c r="U5" s="78">
        <f>G13</f>
        <v>0</v>
      </c>
      <c r="V5" s="78">
        <f>H13</f>
        <v>0</v>
      </c>
      <c r="X5" s="281" t="s">
        <v>31</v>
      </c>
      <c r="Y5" s="108" t="s">
        <v>103</v>
      </c>
      <c r="Z5" s="96">
        <f>C25</f>
        <v>0</v>
      </c>
      <c r="AA5" s="97">
        <f>+C26</f>
        <v>0</v>
      </c>
      <c r="AB5" s="98">
        <f>+C27</f>
        <v>0</v>
      </c>
      <c r="AC5" s="96">
        <f>+C28</f>
        <v>0</v>
      </c>
      <c r="AD5" s="99">
        <f>+C29</f>
        <v>0</v>
      </c>
      <c r="AE5" s="98">
        <f>+C30</f>
        <v>0</v>
      </c>
    </row>
    <row r="6" spans="1:31" ht="15.75" thickBot="1" x14ac:dyDescent="0.3">
      <c r="A6" s="294">
        <v>10</v>
      </c>
      <c r="B6" s="116" t="s">
        <v>97</v>
      </c>
      <c r="C6" s="117"/>
      <c r="D6" s="118"/>
      <c r="E6" s="117"/>
      <c r="F6" s="118"/>
      <c r="G6" s="117"/>
      <c r="H6" s="118"/>
      <c r="I6" s="117"/>
      <c r="J6" s="118"/>
      <c r="K6" s="117"/>
      <c r="L6" s="118"/>
      <c r="M6" s="117"/>
      <c r="N6" s="118"/>
      <c r="O6" s="117"/>
      <c r="P6" s="118"/>
      <c r="Q6" s="117"/>
      <c r="R6" s="118"/>
      <c r="T6" s="112" t="s">
        <v>34</v>
      </c>
      <c r="U6" s="78">
        <f>I13</f>
        <v>0</v>
      </c>
      <c r="V6" s="78">
        <f>J13</f>
        <v>0</v>
      </c>
      <c r="X6" s="282"/>
      <c r="Y6" s="119" t="s">
        <v>104</v>
      </c>
      <c r="Z6" s="100">
        <f>D25</f>
        <v>0</v>
      </c>
      <c r="AA6" s="101">
        <f>+D26</f>
        <v>0</v>
      </c>
      <c r="AB6" s="102">
        <f>+D27</f>
        <v>0</v>
      </c>
      <c r="AC6" s="100">
        <f>+D28</f>
        <v>0</v>
      </c>
      <c r="AD6" s="101">
        <f>+D29</f>
        <v>0</v>
      </c>
      <c r="AE6" s="102">
        <f>+D30</f>
        <v>0</v>
      </c>
    </row>
    <row r="7" spans="1:31" x14ac:dyDescent="0.25">
      <c r="A7" s="295"/>
      <c r="B7" s="120" t="s">
        <v>101</v>
      </c>
      <c r="C7" s="121"/>
      <c r="D7" s="122"/>
      <c r="E7" s="121"/>
      <c r="F7" s="122"/>
      <c r="G7" s="121"/>
      <c r="H7" s="122"/>
      <c r="I7" s="121"/>
      <c r="J7" s="122"/>
      <c r="K7" s="121"/>
      <c r="L7" s="122"/>
      <c r="M7" s="121"/>
      <c r="N7" s="122"/>
      <c r="O7" s="121"/>
      <c r="P7" s="122"/>
      <c r="Q7" s="121"/>
      <c r="R7" s="122"/>
      <c r="T7" s="112" t="s">
        <v>35</v>
      </c>
      <c r="U7" s="78">
        <f>K13</f>
        <v>0</v>
      </c>
      <c r="V7" s="78">
        <f>L13</f>
        <v>0</v>
      </c>
      <c r="X7" s="281" t="s">
        <v>32</v>
      </c>
      <c r="Y7" s="108" t="s">
        <v>103</v>
      </c>
      <c r="Z7" s="96">
        <f>+E25</f>
        <v>0</v>
      </c>
      <c r="AA7" s="97">
        <f>+E26</f>
        <v>0</v>
      </c>
      <c r="AB7" s="98">
        <f>+E27</f>
        <v>0</v>
      </c>
      <c r="AC7" s="96">
        <f>+E28</f>
        <v>0</v>
      </c>
      <c r="AD7" s="97">
        <f>+E29</f>
        <v>0</v>
      </c>
      <c r="AE7" s="98">
        <f>+E30</f>
        <v>0</v>
      </c>
    </row>
    <row r="8" spans="1:31" ht="15.75" thickBot="1" x14ac:dyDescent="0.3">
      <c r="A8" s="296"/>
      <c r="B8" s="123" t="s">
        <v>102</v>
      </c>
      <c r="C8" s="124"/>
      <c r="D8" s="125"/>
      <c r="E8" s="124"/>
      <c r="F8" s="125"/>
      <c r="G8" s="124"/>
      <c r="H8" s="125"/>
      <c r="I8" s="124"/>
      <c r="J8" s="125"/>
      <c r="K8" s="124"/>
      <c r="L8" s="125"/>
      <c r="M8" s="124"/>
      <c r="N8" s="125"/>
      <c r="O8" s="124"/>
      <c r="P8" s="125"/>
      <c r="Q8" s="124"/>
      <c r="R8" s="125"/>
      <c r="T8" s="112" t="s">
        <v>36</v>
      </c>
      <c r="U8" s="103">
        <f>M13</f>
        <v>0</v>
      </c>
      <c r="V8" s="78">
        <f>N13</f>
        <v>0</v>
      </c>
      <c r="X8" s="282"/>
      <c r="Y8" s="119" t="s">
        <v>104</v>
      </c>
      <c r="Z8" s="100">
        <f>+F25</f>
        <v>0</v>
      </c>
      <c r="AA8" s="101">
        <f>+F26</f>
        <v>0</v>
      </c>
      <c r="AB8" s="102">
        <f>+F27</f>
        <v>0</v>
      </c>
      <c r="AC8" s="100">
        <f>+F28</f>
        <v>0</v>
      </c>
      <c r="AD8" s="101">
        <f>+F29</f>
        <v>0</v>
      </c>
      <c r="AE8" s="102">
        <f>+F30</f>
        <v>0</v>
      </c>
    </row>
    <row r="9" spans="1:31" x14ac:dyDescent="0.25">
      <c r="A9" s="278">
        <v>25</v>
      </c>
      <c r="B9" s="86" t="s">
        <v>97</v>
      </c>
      <c r="C9" s="87"/>
      <c r="D9" s="88"/>
      <c r="E9" s="87"/>
      <c r="F9" s="88"/>
      <c r="G9" s="87"/>
      <c r="H9" s="88"/>
      <c r="I9" s="87"/>
      <c r="J9" s="88"/>
      <c r="K9" s="87"/>
      <c r="L9" s="88"/>
      <c r="M9" s="87"/>
      <c r="N9" s="88"/>
      <c r="O9" s="87"/>
      <c r="P9" s="88"/>
      <c r="Q9" s="87"/>
      <c r="R9" s="88"/>
      <c r="T9" s="112" t="s">
        <v>37</v>
      </c>
      <c r="U9" s="78">
        <f>O13</f>
        <v>0</v>
      </c>
      <c r="V9" s="78">
        <f>P13</f>
        <v>0</v>
      </c>
      <c r="X9" s="281" t="s">
        <v>33</v>
      </c>
      <c r="Y9" s="108" t="s">
        <v>103</v>
      </c>
      <c r="Z9" s="96">
        <f>+G25</f>
        <v>0</v>
      </c>
      <c r="AA9" s="97">
        <f>+G26</f>
        <v>0</v>
      </c>
      <c r="AB9" s="98">
        <f>+G27</f>
        <v>0</v>
      </c>
      <c r="AC9" s="96">
        <f>+G28</f>
        <v>0</v>
      </c>
      <c r="AD9" s="97">
        <f>+G29</f>
        <v>0</v>
      </c>
      <c r="AE9" s="98">
        <f>+G30</f>
        <v>0</v>
      </c>
    </row>
    <row r="10" spans="1:31" ht="15.75" thickBot="1" x14ac:dyDescent="0.3">
      <c r="A10" s="279"/>
      <c r="B10" s="90" t="s">
        <v>101</v>
      </c>
      <c r="C10" s="91"/>
      <c r="D10" s="92"/>
      <c r="E10" s="91"/>
      <c r="F10" s="92"/>
      <c r="G10" s="91"/>
      <c r="H10" s="92"/>
      <c r="I10" s="91"/>
      <c r="J10" s="92"/>
      <c r="K10" s="91"/>
      <c r="L10" s="92"/>
      <c r="M10" s="91"/>
      <c r="N10" s="92"/>
      <c r="O10" s="91"/>
      <c r="P10" s="92"/>
      <c r="Q10" s="91"/>
      <c r="R10" s="92"/>
      <c r="T10" s="112" t="s">
        <v>38</v>
      </c>
      <c r="U10" s="78">
        <f>Q13</f>
        <v>0</v>
      </c>
      <c r="V10" s="78">
        <f>R13</f>
        <v>0</v>
      </c>
      <c r="X10" s="282"/>
      <c r="Y10" s="119" t="s">
        <v>104</v>
      </c>
      <c r="Z10" s="100">
        <f>+H25</f>
        <v>0</v>
      </c>
      <c r="AA10" s="101">
        <f>+H26</f>
        <v>0</v>
      </c>
      <c r="AB10" s="102">
        <f>+H27</f>
        <v>0</v>
      </c>
      <c r="AC10" s="100">
        <f>+H28</f>
        <v>0</v>
      </c>
      <c r="AD10" s="101">
        <f>+H29</f>
        <v>0</v>
      </c>
      <c r="AE10" s="102">
        <f>+H30</f>
        <v>0</v>
      </c>
    </row>
    <row r="11" spans="1:31" ht="15.75" customHeight="1" thickBot="1" x14ac:dyDescent="0.3">
      <c r="A11" s="280"/>
      <c r="B11" s="93" t="s">
        <v>102</v>
      </c>
      <c r="C11" s="94"/>
      <c r="D11" s="95"/>
      <c r="E11" s="94"/>
      <c r="F11" s="95"/>
      <c r="G11" s="94"/>
      <c r="H11" s="95"/>
      <c r="I11" s="94"/>
      <c r="J11" s="95"/>
      <c r="K11" s="94"/>
      <c r="L11" s="95"/>
      <c r="M11" s="94"/>
      <c r="N11" s="95"/>
      <c r="O11" s="94"/>
      <c r="P11" s="95"/>
      <c r="Q11" s="94"/>
      <c r="R11" s="95"/>
      <c r="T11" s="293" t="s">
        <v>105</v>
      </c>
      <c r="U11" s="293"/>
      <c r="V11" s="293"/>
      <c r="X11" s="281" t="s">
        <v>34</v>
      </c>
      <c r="Y11" s="108" t="s">
        <v>103</v>
      </c>
      <c r="Z11" s="96">
        <f>+I25</f>
        <v>0</v>
      </c>
      <c r="AA11" s="97">
        <f>+I26</f>
        <v>0</v>
      </c>
      <c r="AB11" s="98">
        <f>+I27</f>
        <v>0</v>
      </c>
      <c r="AC11" s="96">
        <f>+I28</f>
        <v>0</v>
      </c>
      <c r="AD11" s="97">
        <f>+I29</f>
        <v>0</v>
      </c>
      <c r="AE11" s="98">
        <f>+I30</f>
        <v>0</v>
      </c>
    </row>
    <row r="12" spans="1:31" ht="15.75" thickBot="1" x14ac:dyDescent="0.3">
      <c r="A12" s="294">
        <v>50</v>
      </c>
      <c r="B12" s="116" t="s">
        <v>97</v>
      </c>
      <c r="C12" s="117"/>
      <c r="D12" s="118"/>
      <c r="E12" s="117"/>
      <c r="F12" s="118"/>
      <c r="G12" s="117"/>
      <c r="H12" s="118"/>
      <c r="I12" s="117"/>
      <c r="J12" s="118"/>
      <c r="K12" s="117"/>
      <c r="L12" s="118"/>
      <c r="M12" s="117"/>
      <c r="N12" s="118"/>
      <c r="O12" s="117"/>
      <c r="P12" s="118"/>
      <c r="Q12" s="117"/>
      <c r="R12" s="118"/>
      <c r="T12" s="293"/>
      <c r="U12" s="293"/>
      <c r="V12" s="293"/>
      <c r="X12" s="282"/>
      <c r="Y12" s="119" t="s">
        <v>104</v>
      </c>
      <c r="Z12" s="100">
        <f>+J25</f>
        <v>0</v>
      </c>
      <c r="AA12" s="101">
        <f>+J26</f>
        <v>0</v>
      </c>
      <c r="AB12" s="102">
        <f>+J27</f>
        <v>0</v>
      </c>
      <c r="AC12" s="100">
        <f>+J28</f>
        <v>0</v>
      </c>
      <c r="AD12" s="101">
        <f>+J29</f>
        <v>0</v>
      </c>
      <c r="AE12" s="102">
        <f>+J30</f>
        <v>0</v>
      </c>
    </row>
    <row r="13" spans="1:31" x14ac:dyDescent="0.25">
      <c r="A13" s="295"/>
      <c r="B13" s="120" t="s">
        <v>101</v>
      </c>
      <c r="C13" s="121"/>
      <c r="D13" s="122"/>
      <c r="E13" s="121"/>
      <c r="F13" s="122"/>
      <c r="G13" s="121"/>
      <c r="H13" s="122"/>
      <c r="I13" s="121"/>
      <c r="J13" s="122"/>
      <c r="K13" s="121"/>
      <c r="L13" s="122"/>
      <c r="M13" s="121"/>
      <c r="N13" s="122"/>
      <c r="O13" s="121"/>
      <c r="P13" s="122"/>
      <c r="Q13" s="121"/>
      <c r="R13" s="122"/>
      <c r="X13" s="281" t="s">
        <v>35</v>
      </c>
      <c r="Y13" s="108" t="s">
        <v>103</v>
      </c>
      <c r="Z13" s="96">
        <f>+K25</f>
        <v>0</v>
      </c>
      <c r="AA13" s="97">
        <f>+K26</f>
        <v>0</v>
      </c>
      <c r="AB13" s="98">
        <f>+K27</f>
        <v>0</v>
      </c>
      <c r="AC13" s="96">
        <f>+K28</f>
        <v>0</v>
      </c>
      <c r="AD13" s="97">
        <f>+K29</f>
        <v>0</v>
      </c>
      <c r="AE13" s="98">
        <f>+K30</f>
        <v>0</v>
      </c>
    </row>
    <row r="14" spans="1:31" ht="15.75" thickBot="1" x14ac:dyDescent="0.3">
      <c r="A14" s="296"/>
      <c r="B14" s="123" t="s">
        <v>102</v>
      </c>
      <c r="C14" s="124"/>
      <c r="D14" s="125"/>
      <c r="E14" s="124"/>
      <c r="F14" s="125"/>
      <c r="G14" s="124"/>
      <c r="H14" s="125"/>
      <c r="I14" s="124"/>
      <c r="J14" s="125"/>
      <c r="K14" s="124"/>
      <c r="L14" s="125"/>
      <c r="M14" s="124"/>
      <c r="N14" s="125"/>
      <c r="O14" s="124"/>
      <c r="P14" s="125"/>
      <c r="Q14" s="124"/>
      <c r="R14" s="125"/>
      <c r="X14" s="282"/>
      <c r="Y14" s="119" t="s">
        <v>104</v>
      </c>
      <c r="Z14" s="100">
        <f>+L25</f>
        <v>0</v>
      </c>
      <c r="AA14" s="101">
        <f>+L26</f>
        <v>0</v>
      </c>
      <c r="AB14" s="102">
        <f>+L27</f>
        <v>0</v>
      </c>
      <c r="AC14" s="100">
        <f>+L28</f>
        <v>0</v>
      </c>
      <c r="AD14" s="101">
        <f>+L29</f>
        <v>0</v>
      </c>
      <c r="AE14" s="102">
        <f>+L30</f>
        <v>0</v>
      </c>
    </row>
    <row r="15" spans="1:31" x14ac:dyDescent="0.25">
      <c r="A15" s="278">
        <v>75</v>
      </c>
      <c r="B15" s="86" t="s">
        <v>97</v>
      </c>
      <c r="C15" s="87"/>
      <c r="D15" s="88"/>
      <c r="E15" s="87"/>
      <c r="F15" s="88"/>
      <c r="G15" s="87"/>
      <c r="H15" s="88"/>
      <c r="I15" s="87"/>
      <c r="J15" s="88"/>
      <c r="K15" s="87"/>
      <c r="L15" s="88"/>
      <c r="M15" s="87"/>
      <c r="N15" s="88"/>
      <c r="O15" s="87"/>
      <c r="P15" s="88"/>
      <c r="Q15" s="87"/>
      <c r="R15" s="88"/>
      <c r="X15" s="281" t="s">
        <v>36</v>
      </c>
      <c r="Y15" s="108" t="s">
        <v>103</v>
      </c>
      <c r="Z15" s="96">
        <f>+M25</f>
        <v>0</v>
      </c>
      <c r="AA15" s="97">
        <f>+M26</f>
        <v>0</v>
      </c>
      <c r="AB15" s="98">
        <f>+M27</f>
        <v>0</v>
      </c>
      <c r="AC15" s="96">
        <f>+M28</f>
        <v>0</v>
      </c>
      <c r="AD15" s="97">
        <f>+M29</f>
        <v>0</v>
      </c>
      <c r="AE15" s="98">
        <f>+M30</f>
        <v>0</v>
      </c>
    </row>
    <row r="16" spans="1:31" ht="15.75" thickBot="1" x14ac:dyDescent="0.3">
      <c r="A16" s="279"/>
      <c r="B16" s="90" t="s">
        <v>101</v>
      </c>
      <c r="C16" s="91"/>
      <c r="D16" s="92"/>
      <c r="E16" s="91"/>
      <c r="F16" s="92"/>
      <c r="G16" s="91"/>
      <c r="H16" s="92"/>
      <c r="I16" s="91"/>
      <c r="J16" s="92"/>
      <c r="K16" s="91"/>
      <c r="L16" s="92"/>
      <c r="M16" s="91"/>
      <c r="N16" s="92"/>
      <c r="O16" s="91"/>
      <c r="P16" s="92"/>
      <c r="Q16" s="91"/>
      <c r="R16" s="92"/>
      <c r="X16" s="282"/>
      <c r="Y16" s="119" t="s">
        <v>104</v>
      </c>
      <c r="Z16" s="104">
        <f>+N25</f>
        <v>0</v>
      </c>
      <c r="AA16" s="101">
        <f>+N26</f>
        <v>0</v>
      </c>
      <c r="AB16" s="102">
        <f>+N27</f>
        <v>0</v>
      </c>
      <c r="AC16" s="100">
        <f>+N28</f>
        <v>0</v>
      </c>
      <c r="AD16" s="101">
        <f>+N29</f>
        <v>0</v>
      </c>
      <c r="AE16" s="102">
        <f>+N30</f>
        <v>0</v>
      </c>
    </row>
    <row r="17" spans="1:31" ht="15.75" thickBot="1" x14ac:dyDescent="0.3">
      <c r="A17" s="280"/>
      <c r="B17" s="93" t="s">
        <v>102</v>
      </c>
      <c r="C17" s="94"/>
      <c r="D17" s="95"/>
      <c r="E17" s="94"/>
      <c r="F17" s="95"/>
      <c r="G17" s="94"/>
      <c r="H17" s="95"/>
      <c r="I17" s="94"/>
      <c r="J17" s="95"/>
      <c r="K17" s="94"/>
      <c r="L17" s="95"/>
      <c r="M17" s="94"/>
      <c r="N17" s="95"/>
      <c r="O17" s="94"/>
      <c r="P17" s="95"/>
      <c r="Q17" s="94"/>
      <c r="R17" s="95"/>
      <c r="X17" s="281" t="s">
        <v>37</v>
      </c>
      <c r="Y17" s="108" t="s">
        <v>103</v>
      </c>
      <c r="Z17" s="96">
        <f>+O25</f>
        <v>0</v>
      </c>
      <c r="AA17" s="97">
        <f>+O26</f>
        <v>0</v>
      </c>
      <c r="AB17" s="98">
        <f>+O27</f>
        <v>0</v>
      </c>
      <c r="AC17" s="96">
        <f>+O28</f>
        <v>0</v>
      </c>
      <c r="AD17" s="97">
        <f>+O29</f>
        <v>0</v>
      </c>
      <c r="AE17" s="98">
        <f>+O30</f>
        <v>0</v>
      </c>
    </row>
    <row r="18" spans="1:31" ht="15.75" thickBot="1" x14ac:dyDescent="0.3">
      <c r="A18" s="278">
        <v>100</v>
      </c>
      <c r="B18" s="86" t="s">
        <v>97</v>
      </c>
      <c r="C18" s="87"/>
      <c r="D18" s="88"/>
      <c r="E18" s="87"/>
      <c r="F18" s="88"/>
      <c r="G18" s="87"/>
      <c r="H18" s="88"/>
      <c r="I18" s="87"/>
      <c r="J18" s="88"/>
      <c r="K18" s="87"/>
      <c r="L18" s="88"/>
      <c r="M18" s="87"/>
      <c r="N18" s="88"/>
      <c r="O18" s="87"/>
      <c r="P18" s="88"/>
      <c r="Q18" s="87"/>
      <c r="R18" s="88"/>
      <c r="X18" s="282"/>
      <c r="Y18" s="119" t="s">
        <v>104</v>
      </c>
      <c r="Z18" s="104">
        <f>+P25</f>
        <v>0</v>
      </c>
      <c r="AA18" s="101">
        <f>+P26</f>
        <v>0</v>
      </c>
      <c r="AB18" s="102">
        <f>+P27</f>
        <v>0</v>
      </c>
      <c r="AC18" s="100">
        <f>+P28</f>
        <v>0</v>
      </c>
      <c r="AD18" s="101">
        <f>+P29</f>
        <v>0</v>
      </c>
      <c r="AE18" s="102">
        <f>+P30</f>
        <v>0</v>
      </c>
    </row>
    <row r="19" spans="1:31" x14ac:dyDescent="0.25">
      <c r="A19" s="279"/>
      <c r="B19" s="90" t="s">
        <v>101</v>
      </c>
      <c r="C19" s="91"/>
      <c r="D19" s="92"/>
      <c r="E19" s="91"/>
      <c r="F19" s="92"/>
      <c r="G19" s="91"/>
      <c r="H19" s="92"/>
      <c r="I19" s="91"/>
      <c r="J19" s="92"/>
      <c r="K19" s="91"/>
      <c r="L19" s="92"/>
      <c r="M19" s="91"/>
      <c r="N19" s="92"/>
      <c r="O19" s="91"/>
      <c r="P19" s="92"/>
      <c r="Q19" s="91"/>
      <c r="R19" s="92"/>
      <c r="X19" s="283" t="s">
        <v>38</v>
      </c>
      <c r="Y19" s="126" t="s">
        <v>103</v>
      </c>
      <c r="Z19" s="105">
        <f>+Q25</f>
        <v>0</v>
      </c>
      <c r="AA19" s="106">
        <f>+Q26</f>
        <v>0</v>
      </c>
      <c r="AB19" s="107">
        <f>+Q27</f>
        <v>0</v>
      </c>
      <c r="AC19" s="105">
        <f>+Q28</f>
        <v>0</v>
      </c>
      <c r="AD19" s="106">
        <f>+Q29</f>
        <v>0</v>
      </c>
      <c r="AE19" s="107">
        <f>+Q30</f>
        <v>0</v>
      </c>
    </row>
    <row r="20" spans="1:31" ht="15.75" thickBot="1" x14ac:dyDescent="0.3">
      <c r="A20" s="280"/>
      <c r="B20" s="93" t="s">
        <v>102</v>
      </c>
      <c r="C20" s="94"/>
      <c r="D20" s="95"/>
      <c r="E20" s="94"/>
      <c r="F20" s="95"/>
      <c r="G20" s="94"/>
      <c r="H20" s="95"/>
      <c r="I20" s="94"/>
      <c r="J20" s="95"/>
      <c r="K20" s="94"/>
      <c r="L20" s="95"/>
      <c r="M20" s="94"/>
      <c r="N20" s="95"/>
      <c r="O20" s="94"/>
      <c r="P20" s="95"/>
      <c r="Q20" s="94"/>
      <c r="R20" s="95"/>
      <c r="X20" s="282"/>
      <c r="Y20" s="119" t="s">
        <v>104</v>
      </c>
      <c r="Z20" s="100">
        <f>+R25</f>
        <v>0</v>
      </c>
      <c r="AA20" s="101">
        <f>+R26</f>
        <v>0</v>
      </c>
      <c r="AB20" s="102">
        <f>+R27</f>
        <v>0</v>
      </c>
      <c r="AC20" s="100">
        <f>+R28</f>
        <v>0</v>
      </c>
      <c r="AD20" s="101">
        <f>+R29</f>
        <v>0</v>
      </c>
      <c r="AE20" s="102">
        <f>+R30</f>
        <v>0</v>
      </c>
    </row>
    <row r="22" spans="1:31" ht="15.75" thickBot="1" x14ac:dyDescent="0.3"/>
    <row r="23" spans="1:31" ht="15.75" customHeight="1" thickBot="1" x14ac:dyDescent="0.3">
      <c r="A23" s="284" t="s">
        <v>92</v>
      </c>
      <c r="B23" s="281" t="s">
        <v>93</v>
      </c>
      <c r="C23" s="286" t="s">
        <v>73</v>
      </c>
      <c r="D23" s="273"/>
      <c r="E23" s="272" t="s">
        <v>74</v>
      </c>
      <c r="F23" s="273"/>
      <c r="G23" s="272" t="s">
        <v>75</v>
      </c>
      <c r="H23" s="273"/>
      <c r="I23" s="272" t="s">
        <v>76</v>
      </c>
      <c r="J23" s="273"/>
      <c r="K23" s="272" t="s">
        <v>77</v>
      </c>
      <c r="L23" s="273"/>
      <c r="M23" s="272" t="s">
        <v>78</v>
      </c>
      <c r="N23" s="273"/>
      <c r="O23" s="272" t="s">
        <v>79</v>
      </c>
      <c r="P23" s="273"/>
      <c r="Q23" s="272" t="s">
        <v>80</v>
      </c>
      <c r="R23" s="273"/>
      <c r="X23" s="274" t="s">
        <v>106</v>
      </c>
      <c r="Y23" s="275"/>
      <c r="Z23" s="276"/>
      <c r="AA23" s="276"/>
      <c r="AB23" s="276"/>
      <c r="AC23" s="275"/>
      <c r="AD23" s="275"/>
      <c r="AE23" s="277"/>
    </row>
    <row r="24" spans="1:31" ht="15.75" customHeight="1" thickBot="1" x14ac:dyDescent="0.3">
      <c r="A24" s="285"/>
      <c r="B24" s="283"/>
      <c r="C24" s="110" t="s">
        <v>103</v>
      </c>
      <c r="D24" s="111" t="s">
        <v>104</v>
      </c>
      <c r="E24" s="110" t="s">
        <v>103</v>
      </c>
      <c r="F24" s="111" t="s">
        <v>104</v>
      </c>
      <c r="G24" s="110" t="s">
        <v>103</v>
      </c>
      <c r="H24" s="111" t="s">
        <v>104</v>
      </c>
      <c r="I24" s="110" t="s">
        <v>103</v>
      </c>
      <c r="J24" s="111" t="s">
        <v>104</v>
      </c>
      <c r="K24" s="110" t="s">
        <v>103</v>
      </c>
      <c r="L24" s="111" t="s">
        <v>104</v>
      </c>
      <c r="M24" s="110" t="s">
        <v>103</v>
      </c>
      <c r="N24" s="111" t="s">
        <v>104</v>
      </c>
      <c r="O24" s="110" t="s">
        <v>103</v>
      </c>
      <c r="P24" s="111" t="s">
        <v>104</v>
      </c>
      <c r="Q24" s="110" t="s">
        <v>103</v>
      </c>
      <c r="R24" s="111" t="s">
        <v>104</v>
      </c>
      <c r="X24" s="287" t="s">
        <v>50</v>
      </c>
      <c r="Y24" s="269" t="s">
        <v>98</v>
      </c>
      <c r="Z24" s="290" t="s">
        <v>99</v>
      </c>
      <c r="AA24" s="291"/>
      <c r="AB24" s="292"/>
      <c r="AC24" s="291" t="s">
        <v>100</v>
      </c>
      <c r="AD24" s="291"/>
      <c r="AE24" s="292"/>
    </row>
    <row r="25" spans="1:31" ht="30.75" thickBot="1" x14ac:dyDescent="0.3">
      <c r="A25" s="269">
        <v>10</v>
      </c>
      <c r="B25" s="116" t="s">
        <v>97</v>
      </c>
      <c r="C25" s="117" cm="1">
        <f t="array" ref="C25:C27">C6:C8</f>
        <v>0</v>
      </c>
      <c r="D25" s="117" cm="1">
        <f t="array" ref="D25:D27">D6:D8</f>
        <v>0</v>
      </c>
      <c r="E25" s="117" cm="1">
        <f t="array" ref="E25:E27">E6:E8</f>
        <v>0</v>
      </c>
      <c r="F25" s="117" cm="1">
        <f t="array" ref="F25:F27">F6:F8</f>
        <v>0</v>
      </c>
      <c r="G25" s="117" cm="1">
        <f t="array" ref="G25:G27">G6:G8</f>
        <v>0</v>
      </c>
      <c r="H25" s="117" cm="1">
        <f t="array" ref="H25:H27">H6:H8</f>
        <v>0</v>
      </c>
      <c r="I25" s="117" cm="1">
        <f t="array" ref="I25:I27">I6:I8</f>
        <v>0</v>
      </c>
      <c r="J25" s="117" cm="1">
        <f t="array" ref="J25:J27">J6:J8</f>
        <v>0</v>
      </c>
      <c r="K25" s="117" cm="1">
        <f t="array" ref="K25:K27">K6:K8</f>
        <v>0</v>
      </c>
      <c r="L25" s="117" cm="1">
        <f t="array" ref="L25:L27">L6:L8</f>
        <v>0</v>
      </c>
      <c r="M25" s="117" cm="1">
        <f t="array" ref="M25:M27">M6:M8</f>
        <v>0</v>
      </c>
      <c r="N25" s="117" cm="1">
        <f t="array" ref="N25:N27">N6:N8</f>
        <v>0</v>
      </c>
      <c r="O25" s="117" cm="1">
        <f t="array" ref="O25:O27">O6:O8</f>
        <v>0</v>
      </c>
      <c r="P25" s="117" cm="1">
        <f t="array" ref="P25:P27">P6:P8</f>
        <v>0</v>
      </c>
      <c r="Q25" s="117" cm="1">
        <f t="array" ref="Q25:Q27">Q6:Q8</f>
        <v>0</v>
      </c>
      <c r="R25" s="117" cm="1">
        <f t="array" ref="R25:R27">R6:R8</f>
        <v>0</v>
      </c>
      <c r="X25" s="288"/>
      <c r="Y25" s="289"/>
      <c r="Z25" s="129" t="s">
        <v>97</v>
      </c>
      <c r="AA25" s="130" t="s">
        <v>101</v>
      </c>
      <c r="AB25" s="131" t="s">
        <v>102</v>
      </c>
      <c r="AC25" s="132" t="s">
        <v>97</v>
      </c>
      <c r="AD25" s="130" t="s">
        <v>101</v>
      </c>
      <c r="AE25" s="131" t="s">
        <v>102</v>
      </c>
    </row>
    <row r="26" spans="1:31" x14ac:dyDescent="0.25">
      <c r="A26" s="270"/>
      <c r="B26" s="120" t="s">
        <v>101</v>
      </c>
      <c r="C26" s="121">
        <v>0</v>
      </c>
      <c r="D26" s="121">
        <v>0</v>
      </c>
      <c r="E26" s="121">
        <v>0</v>
      </c>
      <c r="F26" s="121">
        <v>0</v>
      </c>
      <c r="G26" s="121">
        <v>0</v>
      </c>
      <c r="H26" s="121">
        <v>0</v>
      </c>
      <c r="I26" s="121">
        <v>0</v>
      </c>
      <c r="J26" s="121">
        <v>0</v>
      </c>
      <c r="K26" s="121">
        <v>0</v>
      </c>
      <c r="L26" s="121">
        <v>0</v>
      </c>
      <c r="M26" s="121">
        <v>0</v>
      </c>
      <c r="N26" s="121">
        <v>0</v>
      </c>
      <c r="O26" s="121">
        <v>0</v>
      </c>
      <c r="P26" s="121">
        <v>0</v>
      </c>
      <c r="Q26" s="121">
        <v>0</v>
      </c>
      <c r="R26" s="121">
        <v>0</v>
      </c>
      <c r="X26" s="127" t="s">
        <v>31</v>
      </c>
      <c r="Y26" s="245" t="s">
        <v>103</v>
      </c>
      <c r="Z26" s="246">
        <f t="shared" ref="Z26:AE41" si="0">Z5</f>
        <v>0</v>
      </c>
      <c r="AA26" s="247">
        <f t="shared" si="0"/>
        <v>0</v>
      </c>
      <c r="AB26" s="234">
        <f t="shared" si="0"/>
        <v>0</v>
      </c>
      <c r="AC26" s="248">
        <f t="shared" si="0"/>
        <v>0</v>
      </c>
      <c r="AD26" s="247">
        <f t="shared" si="0"/>
        <v>0</v>
      </c>
      <c r="AE26" s="234">
        <f t="shared" si="0"/>
        <v>0</v>
      </c>
    </row>
    <row r="27" spans="1:31" ht="15.75" thickBot="1" x14ac:dyDescent="0.3">
      <c r="A27" s="271"/>
      <c r="B27" s="123" t="s">
        <v>102</v>
      </c>
      <c r="C27" s="124">
        <v>0</v>
      </c>
      <c r="D27" s="124">
        <v>0</v>
      </c>
      <c r="E27" s="124">
        <v>0</v>
      </c>
      <c r="F27" s="124">
        <v>0</v>
      </c>
      <c r="G27" s="124">
        <v>0</v>
      </c>
      <c r="H27" s="124">
        <v>0</v>
      </c>
      <c r="I27" s="124">
        <v>0</v>
      </c>
      <c r="J27" s="124">
        <v>0</v>
      </c>
      <c r="K27" s="124">
        <v>0</v>
      </c>
      <c r="L27" s="124">
        <v>0</v>
      </c>
      <c r="M27" s="124">
        <v>0</v>
      </c>
      <c r="N27" s="124">
        <v>0</v>
      </c>
      <c r="O27" s="124">
        <v>0</v>
      </c>
      <c r="P27" s="124">
        <v>0</v>
      </c>
      <c r="Q27" s="124">
        <v>0</v>
      </c>
      <c r="R27" s="124">
        <v>0</v>
      </c>
      <c r="X27" s="133" t="s">
        <v>107</v>
      </c>
      <c r="Y27" s="237"/>
      <c r="Z27" s="239"/>
      <c r="AA27" s="241">
        <f t="shared" si="0"/>
        <v>0</v>
      </c>
      <c r="AB27" s="235">
        <f t="shared" si="0"/>
        <v>0</v>
      </c>
      <c r="AC27" s="244">
        <f t="shared" si="0"/>
        <v>0</v>
      </c>
      <c r="AD27" s="241">
        <f t="shared" si="0"/>
        <v>0</v>
      </c>
      <c r="AE27" s="235">
        <f t="shared" si="0"/>
        <v>0</v>
      </c>
    </row>
    <row r="28" spans="1:31" x14ac:dyDescent="0.25">
      <c r="A28" s="269">
        <v>50</v>
      </c>
      <c r="B28" s="116" t="s">
        <v>97</v>
      </c>
      <c r="C28" s="117" cm="1">
        <f t="array" ref="C28:C30">C12:C14</f>
        <v>0</v>
      </c>
      <c r="D28" s="117" cm="1">
        <f t="array" ref="D28:D30">D12:D14</f>
        <v>0</v>
      </c>
      <c r="E28" s="117" cm="1">
        <f t="array" ref="E28:E30">E12:E14</f>
        <v>0</v>
      </c>
      <c r="F28" s="117" cm="1">
        <f t="array" ref="F28:F30">F12:F14</f>
        <v>0</v>
      </c>
      <c r="G28" s="117" cm="1">
        <f t="array" ref="G28:G30">G12:G14</f>
        <v>0</v>
      </c>
      <c r="H28" s="117" cm="1">
        <f t="array" ref="H28:H30">H12:H14</f>
        <v>0</v>
      </c>
      <c r="I28" s="117" cm="1">
        <f t="array" ref="I28:I30">I12:I14</f>
        <v>0</v>
      </c>
      <c r="J28" s="117" cm="1">
        <f t="array" ref="J28:J30">J12:J14</f>
        <v>0</v>
      </c>
      <c r="K28" s="117" cm="1">
        <f t="array" ref="K28:K30">K12:K14</f>
        <v>0</v>
      </c>
      <c r="L28" s="117" cm="1">
        <f t="array" ref="L28:L30">L12:L14</f>
        <v>0</v>
      </c>
      <c r="M28" s="117" cm="1">
        <f t="array" ref="M28:M30">M12:M14</f>
        <v>0</v>
      </c>
      <c r="N28" s="117" cm="1">
        <f t="array" ref="N28:N30">N12:N14</f>
        <v>0</v>
      </c>
      <c r="O28" s="117" cm="1">
        <f t="array" ref="O28:O30">O12:O14</f>
        <v>0</v>
      </c>
      <c r="P28" s="117" cm="1">
        <f t="array" ref="P28:P30">P12:P14</f>
        <v>0</v>
      </c>
      <c r="Q28" s="117" cm="1">
        <f t="array" ref="Q28:Q30">Q12:Q14</f>
        <v>0</v>
      </c>
      <c r="R28" s="117" cm="1">
        <f t="array" ref="R28:R30">R12:R14</f>
        <v>0</v>
      </c>
      <c r="X28" s="128" t="s">
        <v>32</v>
      </c>
      <c r="Y28" s="236" t="s">
        <v>103</v>
      </c>
      <c r="Z28" s="238">
        <f t="shared" ref="Z28:Z41" si="1">Z7</f>
        <v>0</v>
      </c>
      <c r="AA28" s="240">
        <f t="shared" si="0"/>
        <v>0</v>
      </c>
      <c r="AB28" s="242">
        <f t="shared" si="0"/>
        <v>0</v>
      </c>
      <c r="AC28" s="243">
        <f t="shared" si="0"/>
        <v>0</v>
      </c>
      <c r="AD28" s="240">
        <f t="shared" si="0"/>
        <v>0</v>
      </c>
      <c r="AE28" s="242">
        <f t="shared" si="0"/>
        <v>0</v>
      </c>
    </row>
    <row r="29" spans="1:31" ht="15.75" thickBot="1" x14ac:dyDescent="0.3">
      <c r="A29" s="270"/>
      <c r="B29" s="120" t="s">
        <v>101</v>
      </c>
      <c r="C29" s="121">
        <v>0</v>
      </c>
      <c r="D29" s="121">
        <v>0</v>
      </c>
      <c r="E29" s="121">
        <v>0</v>
      </c>
      <c r="F29" s="121">
        <v>0</v>
      </c>
      <c r="G29" s="121">
        <v>0</v>
      </c>
      <c r="H29" s="121">
        <v>0</v>
      </c>
      <c r="I29" s="121">
        <v>0</v>
      </c>
      <c r="J29" s="121">
        <v>0</v>
      </c>
      <c r="K29" s="121">
        <v>0</v>
      </c>
      <c r="L29" s="121">
        <v>0</v>
      </c>
      <c r="M29" s="121">
        <v>0</v>
      </c>
      <c r="N29" s="121">
        <v>0</v>
      </c>
      <c r="O29" s="121">
        <v>0</v>
      </c>
      <c r="P29" s="121">
        <v>0</v>
      </c>
      <c r="Q29" s="121">
        <v>0</v>
      </c>
      <c r="R29" s="121">
        <v>0</v>
      </c>
      <c r="X29" s="134" t="s">
        <v>108</v>
      </c>
      <c r="Y29" s="236" t="s">
        <v>104</v>
      </c>
      <c r="Z29" s="249">
        <f t="shared" si="1"/>
        <v>0</v>
      </c>
      <c r="AA29" s="250">
        <f t="shared" si="0"/>
        <v>0</v>
      </c>
      <c r="AB29" s="251">
        <f t="shared" si="0"/>
        <v>0</v>
      </c>
      <c r="AC29" s="252">
        <f t="shared" si="0"/>
        <v>0</v>
      </c>
      <c r="AD29" s="250">
        <f t="shared" si="0"/>
        <v>0</v>
      </c>
      <c r="AE29" s="251">
        <f t="shared" si="0"/>
        <v>0</v>
      </c>
    </row>
    <row r="30" spans="1:31" ht="15.75" thickBot="1" x14ac:dyDescent="0.3">
      <c r="A30" s="271"/>
      <c r="B30" s="123" t="s">
        <v>102</v>
      </c>
      <c r="C30" s="124">
        <v>0</v>
      </c>
      <c r="D30" s="124">
        <v>0</v>
      </c>
      <c r="E30" s="124">
        <v>0</v>
      </c>
      <c r="F30" s="124">
        <v>0</v>
      </c>
      <c r="G30" s="124">
        <v>0</v>
      </c>
      <c r="H30" s="124">
        <v>0</v>
      </c>
      <c r="I30" s="124">
        <v>0</v>
      </c>
      <c r="J30" s="124">
        <v>0</v>
      </c>
      <c r="K30" s="124">
        <v>0</v>
      </c>
      <c r="L30" s="124">
        <v>0</v>
      </c>
      <c r="M30" s="124">
        <v>0</v>
      </c>
      <c r="N30" s="124">
        <v>0</v>
      </c>
      <c r="O30" s="124">
        <v>0</v>
      </c>
      <c r="P30" s="124">
        <v>0</v>
      </c>
      <c r="Q30" s="124">
        <v>0</v>
      </c>
      <c r="R30" s="124">
        <v>0</v>
      </c>
      <c r="X30" s="127" t="s">
        <v>33</v>
      </c>
      <c r="Y30" s="245" t="s">
        <v>103</v>
      </c>
      <c r="Z30" s="261">
        <f t="shared" si="1"/>
        <v>0</v>
      </c>
      <c r="AA30" s="263">
        <f t="shared" si="0"/>
        <v>0</v>
      </c>
      <c r="AB30" s="265">
        <f t="shared" si="0"/>
        <v>0</v>
      </c>
      <c r="AC30" s="267">
        <f t="shared" si="0"/>
        <v>0</v>
      </c>
      <c r="AD30" s="263">
        <f t="shared" si="0"/>
        <v>0</v>
      </c>
      <c r="AE30" s="265">
        <f t="shared" si="0"/>
        <v>0</v>
      </c>
    </row>
    <row r="31" spans="1:31" ht="15.75" thickBot="1" x14ac:dyDescent="0.3">
      <c r="X31" s="133" t="s">
        <v>109</v>
      </c>
      <c r="Y31" s="237" t="s">
        <v>104</v>
      </c>
      <c r="Z31" s="262">
        <f t="shared" si="1"/>
        <v>0</v>
      </c>
      <c r="AA31" s="264">
        <f t="shared" si="0"/>
        <v>0</v>
      </c>
      <c r="AB31" s="266">
        <f t="shared" si="0"/>
        <v>0</v>
      </c>
      <c r="AC31" s="268">
        <f t="shared" si="0"/>
        <v>0</v>
      </c>
      <c r="AD31" s="264">
        <f t="shared" si="0"/>
        <v>0</v>
      </c>
      <c r="AE31" s="266">
        <f t="shared" si="0"/>
        <v>0</v>
      </c>
    </row>
    <row r="32" spans="1:31" x14ac:dyDescent="0.25">
      <c r="X32" s="128" t="s">
        <v>34</v>
      </c>
      <c r="Y32" s="236" t="s">
        <v>103</v>
      </c>
      <c r="Z32" s="253">
        <f t="shared" si="1"/>
        <v>0</v>
      </c>
      <c r="AA32" s="255">
        <f t="shared" si="0"/>
        <v>0</v>
      </c>
      <c r="AB32" s="257">
        <f t="shared" si="0"/>
        <v>0</v>
      </c>
      <c r="AC32" s="259">
        <f t="shared" si="0"/>
        <v>0</v>
      </c>
      <c r="AD32" s="255">
        <f t="shared" si="0"/>
        <v>0</v>
      </c>
      <c r="AE32" s="257">
        <f t="shared" si="0"/>
        <v>0</v>
      </c>
    </row>
    <row r="33" spans="24:31" ht="15.75" thickBot="1" x14ac:dyDescent="0.3">
      <c r="X33" s="134" t="s">
        <v>110</v>
      </c>
      <c r="Y33" s="236" t="s">
        <v>104</v>
      </c>
      <c r="Z33" s="254">
        <f t="shared" si="1"/>
        <v>0</v>
      </c>
      <c r="AA33" s="256">
        <f t="shared" si="0"/>
        <v>0</v>
      </c>
      <c r="AB33" s="258">
        <f t="shared" si="0"/>
        <v>0</v>
      </c>
      <c r="AC33" s="260">
        <f t="shared" si="0"/>
        <v>0</v>
      </c>
      <c r="AD33" s="256">
        <f t="shared" si="0"/>
        <v>0</v>
      </c>
      <c r="AE33" s="258">
        <f t="shared" si="0"/>
        <v>0</v>
      </c>
    </row>
    <row r="34" spans="24:31" x14ac:dyDescent="0.25">
      <c r="X34" s="127" t="s">
        <v>35</v>
      </c>
      <c r="Y34" s="245" t="s">
        <v>103</v>
      </c>
      <c r="Z34" s="246">
        <f t="shared" si="1"/>
        <v>0</v>
      </c>
      <c r="AA34" s="247">
        <f t="shared" si="0"/>
        <v>0</v>
      </c>
      <c r="AB34" s="234">
        <f t="shared" si="0"/>
        <v>0</v>
      </c>
      <c r="AC34" s="248">
        <f t="shared" si="0"/>
        <v>0</v>
      </c>
      <c r="AD34" s="247">
        <f t="shared" si="0"/>
        <v>0</v>
      </c>
      <c r="AE34" s="234">
        <f t="shared" si="0"/>
        <v>0</v>
      </c>
    </row>
    <row r="35" spans="24:31" ht="15.75" thickBot="1" x14ac:dyDescent="0.3">
      <c r="X35" s="133" t="s">
        <v>111</v>
      </c>
      <c r="Y35" s="237" t="s">
        <v>104</v>
      </c>
      <c r="Z35" s="239">
        <f t="shared" si="1"/>
        <v>0</v>
      </c>
      <c r="AA35" s="241">
        <f t="shared" si="0"/>
        <v>0</v>
      </c>
      <c r="AB35" s="235">
        <f t="shared" si="0"/>
        <v>0</v>
      </c>
      <c r="AC35" s="244">
        <f t="shared" si="0"/>
        <v>0</v>
      </c>
      <c r="AD35" s="241">
        <f t="shared" si="0"/>
        <v>0</v>
      </c>
      <c r="AE35" s="235">
        <f t="shared" si="0"/>
        <v>0</v>
      </c>
    </row>
    <row r="36" spans="24:31" x14ac:dyDescent="0.25">
      <c r="X36" s="128" t="s">
        <v>36</v>
      </c>
      <c r="Y36" s="236" t="s">
        <v>103</v>
      </c>
      <c r="Z36" s="238">
        <f t="shared" si="1"/>
        <v>0</v>
      </c>
      <c r="AA36" s="240">
        <f t="shared" si="0"/>
        <v>0</v>
      </c>
      <c r="AB36" s="242">
        <f t="shared" si="0"/>
        <v>0</v>
      </c>
      <c r="AC36" s="243">
        <f t="shared" si="0"/>
        <v>0</v>
      </c>
      <c r="AD36" s="240">
        <f t="shared" si="0"/>
        <v>0</v>
      </c>
      <c r="AE36" s="242">
        <f t="shared" si="0"/>
        <v>0</v>
      </c>
    </row>
    <row r="37" spans="24:31" ht="15.75" thickBot="1" x14ac:dyDescent="0.3">
      <c r="X37" s="134" t="s">
        <v>112</v>
      </c>
      <c r="Y37" s="236" t="s">
        <v>104</v>
      </c>
      <c r="Z37" s="249">
        <f t="shared" si="1"/>
        <v>0</v>
      </c>
      <c r="AA37" s="250">
        <f t="shared" si="0"/>
        <v>0</v>
      </c>
      <c r="AB37" s="251">
        <f t="shared" si="0"/>
        <v>0</v>
      </c>
      <c r="AC37" s="252">
        <f t="shared" si="0"/>
        <v>0</v>
      </c>
      <c r="AD37" s="250">
        <f t="shared" si="0"/>
        <v>0</v>
      </c>
      <c r="AE37" s="251">
        <f t="shared" si="0"/>
        <v>0</v>
      </c>
    </row>
    <row r="38" spans="24:31" x14ac:dyDescent="0.25">
      <c r="X38" s="127" t="s">
        <v>37</v>
      </c>
      <c r="Y38" s="245" t="s">
        <v>103</v>
      </c>
      <c r="Z38" s="246">
        <f t="shared" si="1"/>
        <v>0</v>
      </c>
      <c r="AA38" s="247">
        <f t="shared" si="0"/>
        <v>0</v>
      </c>
      <c r="AB38" s="234">
        <f t="shared" si="0"/>
        <v>0</v>
      </c>
      <c r="AC38" s="248">
        <f t="shared" si="0"/>
        <v>0</v>
      </c>
      <c r="AD38" s="247">
        <f t="shared" si="0"/>
        <v>0</v>
      </c>
      <c r="AE38" s="234">
        <f t="shared" si="0"/>
        <v>0</v>
      </c>
    </row>
    <row r="39" spans="24:31" ht="15.75" thickBot="1" x14ac:dyDescent="0.3">
      <c r="X39" s="133" t="s">
        <v>113</v>
      </c>
      <c r="Y39" s="237" t="s">
        <v>104</v>
      </c>
      <c r="Z39" s="239">
        <f t="shared" si="1"/>
        <v>0</v>
      </c>
      <c r="AA39" s="241">
        <f t="shared" si="0"/>
        <v>0</v>
      </c>
      <c r="AB39" s="235">
        <f t="shared" si="0"/>
        <v>0</v>
      </c>
      <c r="AC39" s="244">
        <f t="shared" si="0"/>
        <v>0</v>
      </c>
      <c r="AD39" s="241">
        <f t="shared" si="0"/>
        <v>0</v>
      </c>
      <c r="AE39" s="235">
        <f t="shared" si="0"/>
        <v>0</v>
      </c>
    </row>
    <row r="40" spans="24:31" x14ac:dyDescent="0.25">
      <c r="X40" s="128" t="s">
        <v>38</v>
      </c>
      <c r="Y40" s="236" t="s">
        <v>103</v>
      </c>
      <c r="Z40" s="238">
        <f t="shared" si="1"/>
        <v>0</v>
      </c>
      <c r="AA40" s="240">
        <f t="shared" si="0"/>
        <v>0</v>
      </c>
      <c r="AB40" s="242">
        <f t="shared" si="0"/>
        <v>0</v>
      </c>
      <c r="AC40" s="243">
        <f t="shared" si="0"/>
        <v>0</v>
      </c>
      <c r="AD40" s="240">
        <f t="shared" si="0"/>
        <v>0</v>
      </c>
      <c r="AE40" s="242">
        <f t="shared" si="0"/>
        <v>0</v>
      </c>
    </row>
    <row r="41" spans="24:31" ht="15.75" thickBot="1" x14ac:dyDescent="0.3">
      <c r="X41" s="133" t="s">
        <v>114</v>
      </c>
      <c r="Y41" s="237" t="s">
        <v>104</v>
      </c>
      <c r="Z41" s="239">
        <f t="shared" si="1"/>
        <v>0</v>
      </c>
      <c r="AA41" s="241">
        <f t="shared" si="0"/>
        <v>0</v>
      </c>
      <c r="AB41" s="235">
        <f t="shared" si="0"/>
        <v>0</v>
      </c>
      <c r="AC41" s="244">
        <f t="shared" si="0"/>
        <v>0</v>
      </c>
      <c r="AD41" s="241">
        <f t="shared" si="0"/>
        <v>0</v>
      </c>
      <c r="AE41" s="235">
        <f t="shared" si="0"/>
        <v>0</v>
      </c>
    </row>
  </sheetData>
  <mergeCells count="104">
    <mergeCell ref="Z3:AB3"/>
    <mergeCell ref="AC3:AE3"/>
    <mergeCell ref="X5:X6"/>
    <mergeCell ref="A6:A8"/>
    <mergeCell ref="X7:X8"/>
    <mergeCell ref="K1:L1"/>
    <mergeCell ref="M1:N1"/>
    <mergeCell ref="O1:P1"/>
    <mergeCell ref="Q1:R1"/>
    <mergeCell ref="T1:T2"/>
    <mergeCell ref="U1:V1"/>
    <mergeCell ref="A1:A2"/>
    <mergeCell ref="B1:B2"/>
    <mergeCell ref="C1:D1"/>
    <mergeCell ref="E1:F1"/>
    <mergeCell ref="G1:H1"/>
    <mergeCell ref="I1:J1"/>
    <mergeCell ref="A9:A11"/>
    <mergeCell ref="X9:X10"/>
    <mergeCell ref="T11:V12"/>
    <mergeCell ref="X11:X12"/>
    <mergeCell ref="A12:A14"/>
    <mergeCell ref="X13:X14"/>
    <mergeCell ref="A3:A5"/>
    <mergeCell ref="X3:X4"/>
    <mergeCell ref="Y3:Y4"/>
    <mergeCell ref="I23:J23"/>
    <mergeCell ref="K23:L23"/>
    <mergeCell ref="M23:N23"/>
    <mergeCell ref="O23:P23"/>
    <mergeCell ref="Q23:R23"/>
    <mergeCell ref="X23:AE23"/>
    <mergeCell ref="A15:A17"/>
    <mergeCell ref="X15:X16"/>
    <mergeCell ref="X17:X18"/>
    <mergeCell ref="A18:A20"/>
    <mergeCell ref="X19:X20"/>
    <mergeCell ref="A23:A24"/>
    <mergeCell ref="B23:B24"/>
    <mergeCell ref="C23:D23"/>
    <mergeCell ref="E23:F23"/>
    <mergeCell ref="G23:H23"/>
    <mergeCell ref="X24:X25"/>
    <mergeCell ref="Y24:Y25"/>
    <mergeCell ref="Z24:AB24"/>
    <mergeCell ref="AC24:AE24"/>
    <mergeCell ref="A25:A27"/>
    <mergeCell ref="Y26:Y27"/>
    <mergeCell ref="Z26:Z27"/>
    <mergeCell ref="AA26:AA27"/>
    <mergeCell ref="AB26:AB27"/>
    <mergeCell ref="AC26:AC27"/>
    <mergeCell ref="AD26:AD27"/>
    <mergeCell ref="AE26:AE27"/>
    <mergeCell ref="A28:A30"/>
    <mergeCell ref="Y28:Y29"/>
    <mergeCell ref="Z28:Z29"/>
    <mergeCell ref="AA28:AA29"/>
    <mergeCell ref="AB28:AB29"/>
    <mergeCell ref="AC28:AC29"/>
    <mergeCell ref="AD28:AD29"/>
    <mergeCell ref="AE28:AE29"/>
    <mergeCell ref="AE30:AE31"/>
    <mergeCell ref="Y32:Y33"/>
    <mergeCell ref="Z32:Z33"/>
    <mergeCell ref="AA32:AA33"/>
    <mergeCell ref="AB32:AB33"/>
    <mergeCell ref="AC32:AC33"/>
    <mergeCell ref="AD32:AD33"/>
    <mergeCell ref="AE32:AE33"/>
    <mergeCell ref="Y30:Y31"/>
    <mergeCell ref="Z30:Z31"/>
    <mergeCell ref="AA30:AA31"/>
    <mergeCell ref="AB30:AB31"/>
    <mergeCell ref="AC30:AC31"/>
    <mergeCell ref="AD30:AD31"/>
    <mergeCell ref="AE34:AE35"/>
    <mergeCell ref="Y36:Y37"/>
    <mergeCell ref="Z36:Z37"/>
    <mergeCell ref="AA36:AA37"/>
    <mergeCell ref="AB36:AB37"/>
    <mergeCell ref="AC36:AC37"/>
    <mergeCell ref="AD36:AD37"/>
    <mergeCell ref="AE36:AE37"/>
    <mergeCell ref="Y34:Y35"/>
    <mergeCell ref="Z34:Z35"/>
    <mergeCell ref="AA34:AA35"/>
    <mergeCell ref="AB34:AB35"/>
    <mergeCell ref="AC34:AC35"/>
    <mergeCell ref="AD34:AD35"/>
    <mergeCell ref="AE38:AE39"/>
    <mergeCell ref="Y40:Y41"/>
    <mergeCell ref="Z40:Z41"/>
    <mergeCell ref="AA40:AA41"/>
    <mergeCell ref="AB40:AB41"/>
    <mergeCell ref="AC40:AC41"/>
    <mergeCell ref="AD40:AD41"/>
    <mergeCell ref="AE40:AE41"/>
    <mergeCell ref="Y38:Y39"/>
    <mergeCell ref="Z38:Z39"/>
    <mergeCell ref="AA38:AA39"/>
    <mergeCell ref="AB38:AB39"/>
    <mergeCell ref="AC38:AC39"/>
    <mergeCell ref="AD38:AD3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E08E-A71A-4987-8FBC-F9CD10389FCB}">
  <dimension ref="A1:G11"/>
  <sheetViews>
    <sheetView workbookViewId="0">
      <selection activeCell="A11" sqref="A11:XFD11"/>
    </sheetView>
  </sheetViews>
  <sheetFormatPr baseColWidth="10" defaultColWidth="11.42578125" defaultRowHeight="15" x14ac:dyDescent="0.25"/>
  <sheetData>
    <row r="1" spans="1:7" ht="15.75" thickBot="1" x14ac:dyDescent="0.3">
      <c r="A1" s="298" t="s">
        <v>143</v>
      </c>
      <c r="B1" s="299"/>
      <c r="C1" s="299"/>
      <c r="D1" s="299"/>
      <c r="E1" s="299"/>
      <c r="F1" s="299"/>
      <c r="G1" s="300"/>
    </row>
    <row r="2" spans="1:7" ht="15.75" thickBot="1" x14ac:dyDescent="0.3">
      <c r="A2" s="287" t="s">
        <v>50</v>
      </c>
      <c r="B2" s="301" t="s">
        <v>99</v>
      </c>
      <c r="C2" s="299"/>
      <c r="D2" s="300"/>
      <c r="E2" s="292" t="s">
        <v>100</v>
      </c>
      <c r="F2" s="299"/>
      <c r="G2" s="300"/>
    </row>
    <row r="3" spans="1:7" ht="15.75" thickBot="1" x14ac:dyDescent="0.3">
      <c r="A3" s="228"/>
      <c r="B3" s="129" t="s">
        <v>97</v>
      </c>
      <c r="C3" s="130" t="s">
        <v>101</v>
      </c>
      <c r="D3" s="131" t="s">
        <v>102</v>
      </c>
      <c r="E3" s="132" t="s">
        <v>97</v>
      </c>
      <c r="F3" s="130" t="s">
        <v>101</v>
      </c>
      <c r="G3" s="131" t="s">
        <v>102</v>
      </c>
    </row>
    <row r="4" spans="1:7" ht="30" customHeight="1" thickBot="1" x14ac:dyDescent="0.3">
      <c r="A4" s="127" t="s">
        <v>115</v>
      </c>
      <c r="B4" s="182">
        <f>PERIODO_RETORNO_INST!Z26</f>
        <v>0</v>
      </c>
      <c r="C4" s="182">
        <f>PERIODO_RETORNO_INST!AA26</f>
        <v>0</v>
      </c>
      <c r="D4" s="182">
        <f>PERIODO_RETORNO_INST!AB26</f>
        <v>0</v>
      </c>
      <c r="E4" s="182">
        <f>PERIODO_RETORNO_INST!AC26</f>
        <v>0</v>
      </c>
      <c r="F4" s="182">
        <f>PERIODO_RETORNO_INST!AD26</f>
        <v>0</v>
      </c>
      <c r="G4" s="182">
        <f>PERIODO_RETORNO_INST!AE26</f>
        <v>0</v>
      </c>
    </row>
    <row r="5" spans="1:7" ht="30" customHeight="1" thickBot="1" x14ac:dyDescent="0.3">
      <c r="A5" s="127" t="s">
        <v>116</v>
      </c>
      <c r="B5" s="182">
        <f>PERIODO_RETORNO_INST!Z28</f>
        <v>0</v>
      </c>
      <c r="C5" s="182">
        <f>PERIODO_RETORNO_INST!AA28</f>
        <v>0</v>
      </c>
      <c r="D5" s="182">
        <f>PERIODO_RETORNO_INST!AB28</f>
        <v>0</v>
      </c>
      <c r="E5" s="182">
        <f>PERIODO_RETORNO_INST!AC28</f>
        <v>0</v>
      </c>
      <c r="F5" s="182">
        <f>PERIODO_RETORNO_INST!AD28</f>
        <v>0</v>
      </c>
      <c r="G5" s="182">
        <f>PERIODO_RETORNO_INST!AE28</f>
        <v>0</v>
      </c>
    </row>
    <row r="6" spans="1:7" ht="30" customHeight="1" thickBot="1" x14ac:dyDescent="0.3">
      <c r="A6" s="127" t="s">
        <v>117</v>
      </c>
      <c r="B6" s="182">
        <f>PERIODO_RETORNO_INST!Z30</f>
        <v>0</v>
      </c>
      <c r="C6" s="182">
        <f>PERIODO_RETORNO_INST!AA30</f>
        <v>0</v>
      </c>
      <c r="D6" s="182">
        <f>PERIODO_RETORNO_INST!AB30</f>
        <v>0</v>
      </c>
      <c r="E6" s="182">
        <f>PERIODO_RETORNO_INST!AC30</f>
        <v>0</v>
      </c>
      <c r="F6" s="182">
        <f>PERIODO_RETORNO_INST!AD30</f>
        <v>0</v>
      </c>
      <c r="G6" s="182">
        <f>PERIODO_RETORNO_INST!AE30</f>
        <v>0</v>
      </c>
    </row>
    <row r="7" spans="1:7" ht="30" customHeight="1" thickBot="1" x14ac:dyDescent="0.3">
      <c r="A7" s="127" t="s">
        <v>118</v>
      </c>
      <c r="B7" s="182">
        <f>PERIODO_RETORNO_INST!Z32</f>
        <v>0</v>
      </c>
      <c r="C7" s="182">
        <f>PERIODO_RETORNO_INST!AA32</f>
        <v>0</v>
      </c>
      <c r="D7" s="182">
        <f>PERIODO_RETORNO_INST!AB32</f>
        <v>0</v>
      </c>
      <c r="E7" s="182">
        <f>PERIODO_RETORNO_INST!AC32</f>
        <v>0</v>
      </c>
      <c r="F7" s="182">
        <f>PERIODO_RETORNO_INST!AD32</f>
        <v>0</v>
      </c>
      <c r="G7" s="182">
        <f>PERIODO_RETORNO_INST!AE32</f>
        <v>0</v>
      </c>
    </row>
    <row r="8" spans="1:7" ht="30" customHeight="1" thickBot="1" x14ac:dyDescent="0.3">
      <c r="A8" s="127" t="s">
        <v>119</v>
      </c>
      <c r="B8" s="182">
        <f>PERIODO_RETORNO_INST!Z34</f>
        <v>0</v>
      </c>
      <c r="C8" s="182">
        <f>PERIODO_RETORNO_INST!AA34</f>
        <v>0</v>
      </c>
      <c r="D8" s="182">
        <f>PERIODO_RETORNO_INST!AB34</f>
        <v>0</v>
      </c>
      <c r="E8" s="182">
        <f>PERIODO_RETORNO_INST!AC34</f>
        <v>0</v>
      </c>
      <c r="F8" s="182">
        <f>PERIODO_RETORNO_INST!AD34</f>
        <v>0</v>
      </c>
      <c r="G8" s="182">
        <f>PERIODO_RETORNO_INST!AE34</f>
        <v>0</v>
      </c>
    </row>
    <row r="9" spans="1:7" ht="30" customHeight="1" thickBot="1" x14ac:dyDescent="0.3">
      <c r="A9" s="127" t="s">
        <v>120</v>
      </c>
      <c r="B9" s="182">
        <f>PERIODO_RETORNO_INST!Z36</f>
        <v>0</v>
      </c>
      <c r="C9" s="182">
        <f>PERIODO_RETORNO_INST!AA36</f>
        <v>0</v>
      </c>
      <c r="D9" s="182">
        <f>PERIODO_RETORNO_INST!AB36</f>
        <v>0</v>
      </c>
      <c r="E9" s="182">
        <f>PERIODO_RETORNO_INST!AC36</f>
        <v>0</v>
      </c>
      <c r="F9" s="182">
        <f>PERIODO_RETORNO_INST!AD36</f>
        <v>0</v>
      </c>
      <c r="G9" s="182">
        <f>PERIODO_RETORNO_INST!AE36</f>
        <v>0</v>
      </c>
    </row>
    <row r="10" spans="1:7" ht="30" customHeight="1" thickBot="1" x14ac:dyDescent="0.3">
      <c r="A10" s="127" t="s">
        <v>121</v>
      </c>
      <c r="B10" s="182">
        <f>PERIODO_RETORNO_INST!Z38</f>
        <v>0</v>
      </c>
      <c r="C10" s="182">
        <f>PERIODO_RETORNO_INST!AA38</f>
        <v>0</v>
      </c>
      <c r="D10" s="182">
        <f>PERIODO_RETORNO_INST!AB38</f>
        <v>0</v>
      </c>
      <c r="E10" s="182">
        <f>PERIODO_RETORNO_INST!AC38</f>
        <v>0</v>
      </c>
      <c r="F10" s="182">
        <f>PERIODO_RETORNO_INST!AD38</f>
        <v>0</v>
      </c>
      <c r="G10" s="182">
        <f>PERIODO_RETORNO_INST!AE38</f>
        <v>0</v>
      </c>
    </row>
    <row r="11" spans="1:7" ht="30" customHeight="1" thickBot="1" x14ac:dyDescent="0.3">
      <c r="A11" s="148" t="s">
        <v>122</v>
      </c>
      <c r="B11" s="183">
        <f>PERIODO_RETORNO_INST!Z40</f>
        <v>0</v>
      </c>
      <c r="C11" s="183">
        <f>PERIODO_RETORNO_INST!AA40</f>
        <v>0</v>
      </c>
      <c r="D11" s="183">
        <f>PERIODO_RETORNO_INST!AB40</f>
        <v>0</v>
      </c>
      <c r="E11" s="183">
        <f>PERIODO_RETORNO_INST!AC40</f>
        <v>0</v>
      </c>
      <c r="F11" s="183">
        <f>PERIODO_RETORNO_INST!AD40</f>
        <v>0</v>
      </c>
      <c r="G11" s="183">
        <f>PERIODO_RETORNO_INST!AE40</f>
        <v>0</v>
      </c>
    </row>
  </sheetData>
  <mergeCells count="4">
    <mergeCell ref="A1:G1"/>
    <mergeCell ref="A2:A3"/>
    <mergeCell ref="B2:D2"/>
    <mergeCell ref="E2:G2"/>
  </mergeCells>
  <conditionalFormatting sqref="B4:G11">
    <cfRule type="expression" dxfId="1" priority="1">
      <formula>B4=MAX(B$4:B$11)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A58D-A3D9-49CE-B314-2E0F80DBBB1F}">
  <dimension ref="A1:G11"/>
  <sheetViews>
    <sheetView workbookViewId="0">
      <selection activeCell="A2" sqref="A1:H1048576"/>
    </sheetView>
  </sheetViews>
  <sheetFormatPr baseColWidth="10" defaultRowHeight="15" x14ac:dyDescent="0.25"/>
  <sheetData>
    <row r="1" spans="1:7" ht="15" customHeight="1" thickBot="1" x14ac:dyDescent="0.3">
      <c r="A1" s="274" t="s">
        <v>143</v>
      </c>
      <c r="B1" s="275"/>
      <c r="C1" s="275"/>
      <c r="D1" s="275"/>
      <c r="E1" s="275"/>
      <c r="F1" s="275"/>
      <c r="G1" s="277"/>
    </row>
    <row r="2" spans="1:7" ht="15" customHeight="1" thickBot="1" x14ac:dyDescent="0.3">
      <c r="A2" s="287" t="s">
        <v>50</v>
      </c>
      <c r="B2" s="290" t="s">
        <v>99</v>
      </c>
      <c r="C2" s="291"/>
      <c r="D2" s="292"/>
      <c r="E2" s="290" t="s">
        <v>100</v>
      </c>
      <c r="F2" s="291"/>
      <c r="G2" s="292"/>
    </row>
    <row r="3" spans="1:7" ht="15" customHeight="1" thickBot="1" x14ac:dyDescent="0.3">
      <c r="A3" s="302"/>
      <c r="B3" s="129" t="s">
        <v>97</v>
      </c>
      <c r="C3" s="130" t="s">
        <v>101</v>
      </c>
      <c r="D3" s="131" t="s">
        <v>102</v>
      </c>
      <c r="E3" s="129" t="s">
        <v>97</v>
      </c>
      <c r="F3" s="130" t="s">
        <v>101</v>
      </c>
      <c r="G3" s="131" t="s">
        <v>102</v>
      </c>
    </row>
    <row r="4" spans="1:7" ht="30" customHeight="1" thickBot="1" x14ac:dyDescent="0.3">
      <c r="A4" s="127" t="s">
        <v>115</v>
      </c>
      <c r="B4" s="184"/>
      <c r="C4" s="182"/>
      <c r="D4" s="185"/>
      <c r="E4" s="184"/>
      <c r="F4" s="182"/>
      <c r="G4" s="185"/>
    </row>
    <row r="5" spans="1:7" ht="30" customHeight="1" thickBot="1" x14ac:dyDescent="0.3">
      <c r="A5" s="127" t="s">
        <v>116</v>
      </c>
      <c r="B5" s="184"/>
      <c r="C5" s="182"/>
      <c r="D5" s="185"/>
      <c r="E5" s="184"/>
      <c r="F5" s="182"/>
      <c r="G5" s="185"/>
    </row>
    <row r="6" spans="1:7" ht="30" customHeight="1" thickBot="1" x14ac:dyDescent="0.3">
      <c r="A6" s="127" t="s">
        <v>117</v>
      </c>
      <c r="B6" s="184"/>
      <c r="C6" s="182"/>
      <c r="D6" s="185"/>
      <c r="E6" s="184"/>
      <c r="F6" s="182"/>
      <c r="G6" s="185"/>
    </row>
    <row r="7" spans="1:7" ht="30" customHeight="1" thickBot="1" x14ac:dyDescent="0.3">
      <c r="A7" s="127" t="s">
        <v>118</v>
      </c>
      <c r="B7" s="184"/>
      <c r="C7" s="182"/>
      <c r="D7" s="185"/>
      <c r="E7" s="184"/>
      <c r="F7" s="182"/>
      <c r="G7" s="185"/>
    </row>
    <row r="8" spans="1:7" ht="30" customHeight="1" thickBot="1" x14ac:dyDescent="0.3">
      <c r="A8" s="127" t="s">
        <v>119</v>
      </c>
      <c r="B8" s="184"/>
      <c r="C8" s="182"/>
      <c r="D8" s="185"/>
      <c r="E8" s="184"/>
      <c r="F8" s="182"/>
      <c r="G8" s="185"/>
    </row>
    <row r="9" spans="1:7" ht="30" customHeight="1" thickBot="1" x14ac:dyDescent="0.3">
      <c r="A9" s="127" t="s">
        <v>120</v>
      </c>
      <c r="B9" s="184"/>
      <c r="C9" s="182"/>
      <c r="D9" s="185"/>
      <c r="E9" s="184"/>
      <c r="F9" s="182"/>
      <c r="G9" s="185"/>
    </row>
    <row r="10" spans="1:7" ht="30" customHeight="1" thickBot="1" x14ac:dyDescent="0.3">
      <c r="A10" s="127" t="s">
        <v>121</v>
      </c>
      <c r="B10" s="184"/>
      <c r="C10" s="182"/>
      <c r="D10" s="185"/>
      <c r="E10" s="184"/>
      <c r="F10" s="182"/>
      <c r="G10" s="185"/>
    </row>
    <row r="11" spans="1:7" ht="30" customHeight="1" thickBot="1" x14ac:dyDescent="0.3">
      <c r="A11" s="148" t="s">
        <v>122</v>
      </c>
      <c r="B11" s="184"/>
      <c r="C11" s="182"/>
      <c r="D11" s="185"/>
      <c r="E11" s="184"/>
      <c r="F11" s="182"/>
      <c r="G11" s="185"/>
    </row>
  </sheetData>
  <mergeCells count="4">
    <mergeCell ref="A1:G1"/>
    <mergeCell ref="A2:A3"/>
    <mergeCell ref="B2:D2"/>
    <mergeCell ref="E2:G2"/>
  </mergeCells>
  <conditionalFormatting sqref="B4:G11">
    <cfRule type="expression" dxfId="0" priority="1">
      <formula>B4=MAX(B$4:B$11)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NOTAS</vt:lpstr>
      <vt:lpstr>TABLAS_INCIDENCIA</vt:lpstr>
      <vt:lpstr>RESUMEN_6H</vt:lpstr>
      <vt:lpstr>ANÁLISIS_MENSUAL</vt:lpstr>
      <vt:lpstr>TABLAS_INCIDENCIA_MENSUAL</vt:lpstr>
      <vt:lpstr>VALIDACIÓN_ERA5</vt:lpstr>
      <vt:lpstr>EVENTOS-EXTREMOS-INST</vt:lpstr>
      <vt:lpstr>PERIODO_RETORNO_INST</vt:lpstr>
      <vt:lpstr>Hoja1</vt:lpstr>
      <vt:lpstr>PERIODO_RETORNO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Gillian Ord</dc:creator>
  <cp:lastModifiedBy>5zuy4</cp:lastModifiedBy>
  <dcterms:created xsi:type="dcterms:W3CDTF">2024-05-19T22:19:35Z</dcterms:created>
  <dcterms:modified xsi:type="dcterms:W3CDTF">2026-02-24T17:49:06Z</dcterms:modified>
</cp:coreProperties>
</file>